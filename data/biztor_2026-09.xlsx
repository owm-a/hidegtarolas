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kvari.norbert\Downloads\"/>
    </mc:Choice>
  </mc:AlternateContent>
  <xr:revisionPtr revIDLastSave="0" documentId="13_ncr:1_{E5A89A60-1DF4-4D52-B311-BD361F2D2ADF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Összesítés" sheetId="42" r:id="rId1"/>
    <sheet name="ALAP HC" sheetId="48" r:id="rId2"/>
    <sheet name="ALAP PP" sheetId="66" r:id="rId3"/>
    <sheet name="K2 HC " sheetId="80" state="hidden" r:id="rId4"/>
    <sheet name="K2 PP " sheetId="81" state="hidden" r:id="rId5"/>
    <sheet name="K1 HC" sheetId="70" r:id="rId6"/>
    <sheet name="K1 PP" sheetId="74" r:id="rId7"/>
    <sheet name="SZ-VV" sheetId="6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74" l="1"/>
  <c r="D32" i="74"/>
  <c r="E31" i="74"/>
  <c r="D31" i="74"/>
  <c r="E30" i="74"/>
  <c r="D30" i="74"/>
  <c r="E29" i="74"/>
  <c r="D29" i="74"/>
  <c r="E32" i="70"/>
  <c r="D32" i="70"/>
  <c r="E31" i="70"/>
  <c r="D31" i="70"/>
  <c r="E30" i="70"/>
  <c r="D30" i="70"/>
  <c r="E29" i="70"/>
  <c r="D29" i="70"/>
  <c r="E41" i="66"/>
  <c r="D41" i="66"/>
  <c r="E40" i="66"/>
  <c r="D40" i="66"/>
  <c r="E39" i="66"/>
  <c r="D39" i="66"/>
  <c r="E38" i="66"/>
  <c r="D38" i="66"/>
  <c r="E37" i="66"/>
  <c r="D37" i="66"/>
  <c r="E36" i="66"/>
  <c r="D36" i="66"/>
  <c r="E41" i="48"/>
  <c r="D41" i="48"/>
  <c r="E40" i="48"/>
  <c r="D40" i="48"/>
  <c r="E39" i="48"/>
  <c r="D39" i="48"/>
  <c r="E38" i="48"/>
  <c r="D38" i="48"/>
  <c r="E37" i="48"/>
  <c r="D37" i="48"/>
  <c r="E36" i="48"/>
  <c r="D36" i="48"/>
  <c r="I12" i="42"/>
  <c r="I11" i="42"/>
  <c r="I10" i="42"/>
  <c r="I9" i="42"/>
  <c r="I8" i="42"/>
  <c r="I7" i="42"/>
  <c r="I6" i="42"/>
  <c r="I5" i="42"/>
  <c r="I4" i="42"/>
  <c r="I3" i="42"/>
  <c r="I13" i="42" l="1"/>
  <c r="I14" i="42" s="1"/>
  <c r="I15" i="42" s="1"/>
  <c r="I16" i="42" s="1"/>
  <c r="I17" i="42" s="1"/>
  <c r="E10" i="81"/>
  <c r="D10" i="81"/>
  <c r="E9" i="81"/>
  <c r="D9" i="81"/>
  <c r="E8" i="81"/>
  <c r="D8" i="81"/>
  <c r="E7" i="81"/>
  <c r="D7" i="81"/>
  <c r="E10" i="80"/>
  <c r="D10" i="80"/>
  <c r="E9" i="80"/>
  <c r="D9" i="80"/>
  <c r="E8" i="80"/>
  <c r="D8" i="80"/>
  <c r="E7" i="80"/>
  <c r="D7" i="80"/>
  <c r="Q7" i="42"/>
  <c r="O7" i="42"/>
  <c r="M7" i="42"/>
  <c r="K7" i="42"/>
  <c r="G7" i="42"/>
  <c r="E7" i="42"/>
  <c r="M12" i="42" l="1"/>
  <c r="M11" i="42"/>
  <c r="M10" i="42"/>
  <c r="M9" i="42"/>
  <c r="M8" i="42"/>
  <c r="M6" i="42"/>
  <c r="M5" i="42"/>
  <c r="M4" i="42"/>
  <c r="M3" i="42"/>
  <c r="Q4" i="42"/>
  <c r="Q5" i="42"/>
  <c r="Q6" i="42"/>
  <c r="Q8" i="42"/>
  <c r="Q9" i="42"/>
  <c r="Q10" i="42"/>
  <c r="Q11" i="42"/>
  <c r="Q12" i="42"/>
  <c r="Q3" i="42"/>
  <c r="O4" i="42"/>
  <c r="O5" i="42"/>
  <c r="O6" i="42"/>
  <c r="O8" i="42"/>
  <c r="O9" i="42"/>
  <c r="O10" i="42"/>
  <c r="O11" i="42"/>
  <c r="O12" i="42"/>
  <c r="O3" i="42"/>
  <c r="K4" i="42"/>
  <c r="K5" i="42"/>
  <c r="K6" i="42"/>
  <c r="K8" i="42"/>
  <c r="K9" i="42"/>
  <c r="K10" i="42"/>
  <c r="K11" i="42"/>
  <c r="K12" i="42"/>
  <c r="K3" i="42"/>
  <c r="G4" i="42"/>
  <c r="G5" i="42"/>
  <c r="G6" i="42"/>
  <c r="G8" i="42"/>
  <c r="G9" i="42"/>
  <c r="G10" i="42"/>
  <c r="G11" i="42"/>
  <c r="G12" i="42"/>
  <c r="G3" i="42"/>
  <c r="E4" i="42"/>
  <c r="E5" i="42"/>
  <c r="E6" i="42"/>
  <c r="E8" i="42"/>
  <c r="E9" i="42"/>
  <c r="E10" i="42"/>
  <c r="E11" i="42"/>
  <c r="E12" i="42"/>
  <c r="E3" i="42"/>
  <c r="Q13" i="42" l="1"/>
  <c r="M13" i="42"/>
  <c r="M14" i="42" s="1"/>
  <c r="M15" i="42" s="1"/>
  <c r="M16" i="42" s="1"/>
  <c r="M17" i="42" s="1"/>
  <c r="Q14" i="42" l="1"/>
  <c r="Q15" i="42" s="1"/>
  <c r="Q16" i="42" s="1"/>
  <c r="Q17" i="42" s="1"/>
  <c r="E13" i="42" l="1"/>
  <c r="E14" i="42" s="1"/>
  <c r="E15" i="42" s="1"/>
  <c r="E16" i="42" s="1"/>
  <c r="E17" i="42" s="1"/>
  <c r="O13" i="42" l="1"/>
  <c r="O14" i="42" s="1"/>
  <c r="O15" i="42" s="1"/>
  <c r="O16" i="42" s="1"/>
  <c r="O17" i="42" s="1"/>
  <c r="K13" i="42"/>
  <c r="K14" i="42" s="1"/>
  <c r="K15" i="42" s="1"/>
  <c r="K16" i="42" s="1"/>
  <c r="K17" i="42" s="1"/>
  <c r="G13" i="42"/>
  <c r="G14" i="42" s="1"/>
  <c r="G15" i="42" s="1"/>
  <c r="G16" i="42" s="1"/>
  <c r="G17" i="42" s="1"/>
</calcChain>
</file>

<file path=xl/sharedStrings.xml><?xml version="1.0" encoding="utf-8"?>
<sst xmlns="http://schemas.openxmlformats.org/spreadsheetml/2006/main" count="723" uniqueCount="189">
  <si>
    <t>SZ-VV</t>
  </si>
  <si>
    <t>ALAP PP</t>
  </si>
  <si>
    <t>ALAP HC</t>
  </si>
  <si>
    <t>Naptípus</t>
  </si>
  <si>
    <t>Őrök száma</t>
  </si>
  <si>
    <t>Total [h]</t>
  </si>
  <si>
    <t>Napi óraszám*</t>
  </si>
  <si>
    <t>nettó</t>
  </si>
  <si>
    <t>bruttó</t>
  </si>
  <si>
    <t>ÁFA</t>
  </si>
  <si>
    <t>Hétvégén és ünnepnapokon nincs végállomási tárolás!</t>
  </si>
  <si>
    <t>*A napi óraszám meghatározásánál a megkezdett óra felfelé kerekítve</t>
  </si>
  <si>
    <t>Csepel, Szent Imre tér</t>
  </si>
  <si>
    <t>Békásmegyer, Újmegyeri tér</t>
  </si>
  <si>
    <t>Örs Vezér tere, észak</t>
  </si>
  <si>
    <t>Pestszentlőrinc, VÁ.</t>
  </si>
  <si>
    <t>---</t>
  </si>
  <si>
    <t>Óradíj:</t>
  </si>
  <si>
    <t>K1 HC</t>
  </si>
  <si>
    <t>K1 PP</t>
  </si>
  <si>
    <t>2026</t>
  </si>
  <si>
    <t>Érvényes:</t>
  </si>
  <si>
    <t>∑Napok</t>
  </si>
  <si>
    <t>Visz.</t>
  </si>
  <si>
    <t>0250</t>
  </si>
  <si>
    <t>58</t>
  </si>
  <si>
    <t>10:03</t>
  </si>
  <si>
    <t>13:52</t>
  </si>
  <si>
    <t>Mexikói út M</t>
  </si>
  <si>
    <t>0350</t>
  </si>
  <si>
    <t>34</t>
  </si>
  <si>
    <t>12:36</t>
  </si>
  <si>
    <t>13:50</t>
  </si>
  <si>
    <t>0360</t>
  </si>
  <si>
    <t>21</t>
  </si>
  <si>
    <t>13:29</t>
  </si>
  <si>
    <t>Pestszentlőrinc vasútállomás</t>
  </si>
  <si>
    <t>22</t>
  </si>
  <si>
    <t>10:50</t>
  </si>
  <si>
    <t>14:05</t>
  </si>
  <si>
    <t>23</t>
  </si>
  <si>
    <t>0710</t>
  </si>
  <si>
    <t>10:00</t>
  </si>
  <si>
    <t>14:27</t>
  </si>
  <si>
    <t>24</t>
  </si>
  <si>
    <t>09:21</t>
  </si>
  <si>
    <t>13:57</t>
  </si>
  <si>
    <t>25</t>
  </si>
  <si>
    <t>09:33</t>
  </si>
  <si>
    <t>13:22</t>
  </si>
  <si>
    <t>0960</t>
  </si>
  <si>
    <t>59</t>
  </si>
  <si>
    <t>09:06</t>
  </si>
  <si>
    <t>1340</t>
  </si>
  <si>
    <t>57</t>
  </si>
  <si>
    <t>10:39</t>
  </si>
  <si>
    <t>15:11</t>
  </si>
  <si>
    <t>1480</t>
  </si>
  <si>
    <t>09:52</t>
  </si>
  <si>
    <t>12:55</t>
  </si>
  <si>
    <t>11:52</t>
  </si>
  <si>
    <t>14:49</t>
  </si>
  <si>
    <t>1510</t>
  </si>
  <si>
    <t>39</t>
  </si>
  <si>
    <t>12:20</t>
  </si>
  <si>
    <t>13:45</t>
  </si>
  <si>
    <t>1821</t>
  </si>
  <si>
    <t>08:36</t>
  </si>
  <si>
    <t>13:51</t>
  </si>
  <si>
    <t>2250</t>
  </si>
  <si>
    <t>60</t>
  </si>
  <si>
    <t>10:20</t>
  </si>
  <si>
    <t>14:02</t>
  </si>
  <si>
    <t>Őr</t>
  </si>
  <si>
    <t>Munkaidő</t>
  </si>
  <si>
    <t>Végállomás helye</t>
  </si>
  <si>
    <t>Forgalmi szám</t>
  </si>
  <si>
    <t>Munkaidő órában</t>
  </si>
  <si>
    <t>Érkezés</t>
  </si>
  <si>
    <t>Indulás</t>
  </si>
  <si>
    <t>Kezdés</t>
  </si>
  <si>
    <t>Végzés</t>
  </si>
  <si>
    <t>ArrivaBus hidegtárolások végállomásokon</t>
  </si>
  <si>
    <t>09:40</t>
  </si>
  <si>
    <t>14:04</t>
  </si>
  <si>
    <t>13:59</t>
  </si>
  <si>
    <t>13:53</t>
  </si>
  <si>
    <t>09:02</t>
  </si>
  <si>
    <t>14:11</t>
  </si>
  <si>
    <t>14:19</t>
  </si>
  <si>
    <t>1820</t>
  </si>
  <si>
    <t>10:16</t>
  </si>
  <si>
    <t>K2 HC</t>
  </si>
  <si>
    <t>10:22</t>
  </si>
  <si>
    <t>15:13</t>
  </si>
  <si>
    <t>13:23</t>
  </si>
  <si>
    <t>10:40</t>
  </si>
  <si>
    <t>15:45</t>
  </si>
  <si>
    <t>08:56</t>
  </si>
  <si>
    <t>13:43</t>
  </si>
  <si>
    <t>09:59</t>
  </si>
  <si>
    <t>15:21</t>
  </si>
  <si>
    <t>13:21</t>
  </si>
  <si>
    <t>11:14</t>
  </si>
  <si>
    <t>12:00</t>
  </si>
  <si>
    <t>13:48</t>
  </si>
  <si>
    <t>15:43</t>
  </si>
  <si>
    <t>10:47</t>
  </si>
  <si>
    <t>13:55</t>
  </si>
  <si>
    <t>1310</t>
  </si>
  <si>
    <t>55</t>
  </si>
  <si>
    <t>09:08</t>
  </si>
  <si>
    <t>13:47</t>
  </si>
  <si>
    <t>0310</t>
  </si>
  <si>
    <t>09:09</t>
  </si>
  <si>
    <t>56</t>
  </si>
  <si>
    <t>10:23</t>
  </si>
  <si>
    <t>14:38</t>
  </si>
  <si>
    <t>10:24</t>
  </si>
  <si>
    <t>15:17</t>
  </si>
  <si>
    <t>0975</t>
  </si>
  <si>
    <t>8</t>
  </si>
  <si>
    <t>09:45</t>
  </si>
  <si>
    <t>Örs vezér tere M+H, északi tároló</t>
  </si>
  <si>
    <t>15:31</t>
  </si>
  <si>
    <t>0660</t>
  </si>
  <si>
    <t>14:45</t>
  </si>
  <si>
    <t>1590</t>
  </si>
  <si>
    <t>11:25</t>
  </si>
  <si>
    <t>15:49</t>
  </si>
  <si>
    <t>11:50</t>
  </si>
  <si>
    <t>11:24</t>
  </si>
  <si>
    <t>15:05</t>
  </si>
  <si>
    <t>K2 PP</t>
  </si>
  <si>
    <t>14:43</t>
  </si>
  <si>
    <t xml:space="preserve">Mexikói út </t>
  </si>
  <si>
    <t>Kőbánya-Kispest, Sibrik</t>
  </si>
  <si>
    <t>10:59</t>
  </si>
  <si>
    <t>14:21</t>
  </si>
  <si>
    <t>1425</t>
  </si>
  <si>
    <t>09:31</t>
  </si>
  <si>
    <t>09:58</t>
  </si>
  <si>
    <t>15:14</t>
  </si>
  <si>
    <t>13:15</t>
  </si>
  <si>
    <t>16:01</t>
  </si>
  <si>
    <t>Kőbánya-Kispest M (Sibrik felüljáró)</t>
  </si>
  <si>
    <t>augusztus</t>
  </si>
  <si>
    <t>augusztus 3-6. | 10-13. | 17-19.</t>
  </si>
  <si>
    <t>augusztus 7-8. | 14.</t>
  </si>
  <si>
    <t>Kőbánya-Kispest M</t>
  </si>
  <si>
    <t>15:56</t>
  </si>
  <si>
    <t>14:16</t>
  </si>
  <si>
    <t>10:45</t>
  </si>
  <si>
    <t>10:12</t>
  </si>
  <si>
    <t>Kőbánya alsó vasútállomás</t>
  </si>
  <si>
    <t>10:32</t>
  </si>
  <si>
    <t>14:09</t>
  </si>
  <si>
    <t>46</t>
  </si>
  <si>
    <t>11:22</t>
  </si>
  <si>
    <t>09:01</t>
  </si>
  <si>
    <t>13:14</t>
  </si>
  <si>
    <t>09:00</t>
  </si>
  <si>
    <t>09:51</t>
  </si>
  <si>
    <t>Kőbánya alsó, VÁ.</t>
  </si>
  <si>
    <t>14:51</t>
  </si>
  <si>
    <t>13:06</t>
  </si>
  <si>
    <t>2026.10.01. - 2026.10.31</t>
  </si>
  <si>
    <t>október</t>
  </si>
  <si>
    <t>08:50</t>
  </si>
  <si>
    <t>14:28</t>
  </si>
  <si>
    <t>1840</t>
  </si>
  <si>
    <t>13</t>
  </si>
  <si>
    <t>15:38</t>
  </si>
  <si>
    <t>09:16</t>
  </si>
  <si>
    <t>10:10</t>
  </si>
  <si>
    <t>15:07</t>
  </si>
  <si>
    <t>Kőbánya-Kispest M (Sibrik tároló)</t>
  </si>
  <si>
    <t>13:17</t>
  </si>
  <si>
    <t>14:26</t>
  </si>
  <si>
    <t>10:07</t>
  </si>
  <si>
    <t>13:46</t>
  </si>
  <si>
    <t>Örs vezér tere M+H (északi tároló)</t>
  </si>
  <si>
    <t>Viszonylat</t>
  </si>
  <si>
    <t>Forda</t>
  </si>
  <si>
    <t>1. 5. 6. 7. 8. 12. 13. 14. 15. 19. 20. 21.</t>
  </si>
  <si>
    <t>2. 9. 16.</t>
  </si>
  <si>
    <t>3. 4. 10. 11. 17. 18. 23. 24. 25.</t>
  </si>
  <si>
    <t>2026.09.</t>
  </si>
  <si>
    <t>26. 27. 28. 29. 30.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</si>
</sst>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Ft&quot;"/>
  </numFmts>
  <fonts count="3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20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sz val="10"/>
      <name val="Arial"/>
      <charset val="238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8"/>
      <name val="Calibri"/>
      <family val="2"/>
      <charset val="238"/>
      <scheme val="minor"/>
    </font>
    <font>
      <sz val="11"/>
      <color theme="0" tint="-0.34998626667073579"/>
      <name val="Calibri"/>
      <family val="2"/>
      <charset val="238"/>
      <scheme val="minor"/>
    </font>
    <font>
      <sz val="20"/>
      <color theme="0" tint="-0.499984740745262"/>
      <name val="Calibri"/>
      <family val="2"/>
      <charset val="238"/>
      <scheme val="minor"/>
    </font>
    <font>
      <b/>
      <sz val="10"/>
      <color rgb="FFFF0000"/>
      <name val="Arial"/>
      <family val="2"/>
      <charset val="238"/>
    </font>
    <font>
      <sz val="9"/>
      <color theme="1"/>
      <name val="Calibri"/>
      <family val="2"/>
      <scheme val="minor"/>
    </font>
    <font>
      <b/>
      <sz val="11"/>
      <name val="Arial"/>
      <family val="2"/>
      <charset val="238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7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3" fillId="0" borderId="17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18" applyNumberFormat="0" applyAlignment="0" applyProtection="0"/>
    <xf numFmtId="0" fontId="18" fillId="8" borderId="19" applyNumberFormat="0" applyAlignment="0" applyProtection="0"/>
    <xf numFmtId="0" fontId="19" fillId="8" borderId="18" applyNumberFormat="0" applyAlignment="0" applyProtection="0"/>
    <xf numFmtId="0" fontId="20" fillId="0" borderId="20" applyNumberFormat="0" applyFill="0" applyAlignment="0" applyProtection="0"/>
    <xf numFmtId="0" fontId="21" fillId="9" borderId="21" applyNumberFormat="0" applyAlignment="0" applyProtection="0"/>
    <xf numFmtId="0" fontId="22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3" fillId="0" borderId="0" applyNumberFormat="0" applyFill="0" applyBorder="0" applyAlignment="0" applyProtection="0"/>
    <xf numFmtId="0" fontId="6" fillId="0" borderId="23" applyNumberFormat="0" applyFill="0" applyAlignment="0" applyProtection="0"/>
    <xf numFmtId="0" fontId="2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0" borderId="0"/>
  </cellStyleXfs>
  <cellXfs count="100">
    <xf numFmtId="0" fontId="0" fillId="0" borderId="0" xfId="0"/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2" xfId="0" applyBorder="1"/>
    <xf numFmtId="0" fontId="6" fillId="0" borderId="0" xfId="0" applyFont="1" applyAlignment="1">
      <alignment horizontal="center"/>
    </xf>
    <xf numFmtId="0" fontId="0" fillId="0" borderId="3" xfId="0" applyBorder="1"/>
    <xf numFmtId="0" fontId="6" fillId="3" borderId="4" xfId="0" applyFont="1" applyFill="1" applyBorder="1" applyAlignment="1">
      <alignment horizontal="center"/>
    </xf>
    <xf numFmtId="0" fontId="6" fillId="0" borderId="0" xfId="0" applyFont="1"/>
    <xf numFmtId="0" fontId="6" fillId="0" borderId="7" xfId="0" applyFont="1" applyBorder="1"/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64" fontId="6" fillId="0" borderId="3" xfId="1" applyNumberFormat="1" applyFont="1" applyBorder="1" applyAlignment="1">
      <alignment horizontal="right"/>
    </xf>
    <xf numFmtId="164" fontId="6" fillId="0" borderId="4" xfId="1" applyNumberFormat="1" applyFont="1" applyBorder="1" applyAlignment="1">
      <alignment horizontal="right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0" fontId="25" fillId="0" borderId="24" xfId="44" applyFont="1" applyBorder="1" applyAlignment="1">
      <alignment horizontal="center" vertical="center" wrapText="1"/>
    </xf>
    <xf numFmtId="0" fontId="25" fillId="35" borderId="25" xfId="44" applyFont="1" applyFill="1" applyBorder="1" applyAlignment="1">
      <alignment horizontal="left" vertical="center" wrapText="1"/>
    </xf>
    <xf numFmtId="0" fontId="25" fillId="36" borderId="24" xfId="44" applyFont="1" applyFill="1" applyBorder="1" applyAlignment="1">
      <alignment horizontal="center" vertical="center" wrapText="1"/>
    </xf>
    <xf numFmtId="0" fontId="25" fillId="0" borderId="26" xfId="44" applyFont="1" applyBorder="1" applyAlignment="1">
      <alignment horizontal="center" vertical="center" wrapText="1"/>
    </xf>
    <xf numFmtId="0" fontId="25" fillId="35" borderId="25" xfId="44" applyFont="1" applyFill="1" applyBorder="1" applyAlignment="1">
      <alignment horizontal="center" vertical="center" wrapText="1"/>
    </xf>
    <xf numFmtId="0" fontId="25" fillId="36" borderId="24" xfId="44" applyFont="1" applyFill="1" applyBorder="1" applyAlignment="1">
      <alignment horizontal="left" vertical="center" wrapText="1"/>
    </xf>
    <xf numFmtId="20" fontId="25" fillId="0" borderId="24" xfId="44" applyNumberFormat="1" applyFont="1" applyBorder="1" applyAlignment="1">
      <alignment horizontal="center" vertical="center" wrapText="1"/>
    </xf>
    <xf numFmtId="0" fontId="25" fillId="0" borderId="24" xfId="44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right" vertical="center"/>
    </xf>
    <xf numFmtId="20" fontId="28" fillId="0" borderId="24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/>
    </xf>
    <xf numFmtId="0" fontId="25" fillId="0" borderId="27" xfId="44" applyFont="1" applyBorder="1" applyAlignment="1">
      <alignment horizontal="center" vertical="center" wrapText="1"/>
    </xf>
    <xf numFmtId="0" fontId="26" fillId="0" borderId="27" xfId="44" applyBorder="1" applyAlignment="1">
      <alignment horizontal="center" vertical="center" wrapText="1"/>
    </xf>
    <xf numFmtId="0" fontId="26" fillId="0" borderId="27" xfId="44" applyBorder="1" applyAlignment="1">
      <alignment horizontal="left" vertical="center" wrapText="1"/>
    </xf>
    <xf numFmtId="0" fontId="26" fillId="0" borderId="14" xfId="44" applyBorder="1" applyAlignment="1">
      <alignment horizontal="left" vertical="center" wrapText="1"/>
    </xf>
    <xf numFmtId="0" fontId="25" fillId="0" borderId="29" xfId="44" applyFont="1" applyBorder="1" applyAlignment="1">
      <alignment horizontal="center" vertical="center" wrapText="1"/>
    </xf>
    <xf numFmtId="0" fontId="26" fillId="0" borderId="14" xfId="44" applyBorder="1" applyAlignment="1">
      <alignment horizontal="center" vertical="center" wrapText="1"/>
    </xf>
    <xf numFmtId="0" fontId="25" fillId="0" borderId="14" xfId="44" applyFont="1" applyBorder="1" applyAlignment="1">
      <alignment horizontal="center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5" xfId="0" applyFont="1" applyBorder="1"/>
    <xf numFmtId="0" fontId="6" fillId="0" borderId="12" xfId="0" applyFont="1" applyBorder="1"/>
    <xf numFmtId="0" fontId="6" fillId="0" borderId="6" xfId="0" applyFont="1" applyBorder="1"/>
    <xf numFmtId="0" fontId="31" fillId="0" borderId="12" xfId="0" applyFont="1" applyBorder="1" applyAlignment="1">
      <alignment horizontal="center"/>
    </xf>
    <xf numFmtId="0" fontId="25" fillId="0" borderId="32" xfId="44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6" fillId="0" borderId="33" xfId="0" applyFont="1" applyBorder="1" applyAlignment="1">
      <alignment horizontal="center" vertical="center" wrapText="1"/>
    </xf>
    <xf numFmtId="0" fontId="25" fillId="0" borderId="33" xfId="44" applyFont="1" applyBorder="1" applyAlignment="1">
      <alignment horizontal="center" vertical="center" wrapText="1"/>
    </xf>
    <xf numFmtId="20" fontId="25" fillId="0" borderId="33" xfId="44" applyNumberFormat="1" applyFont="1" applyBorder="1" applyAlignment="1">
      <alignment horizontal="center" vertical="center" wrapText="1"/>
    </xf>
    <xf numFmtId="0" fontId="25" fillId="0" borderId="33" xfId="44" applyFont="1" applyBorder="1" applyAlignment="1">
      <alignment horizontal="left" vertical="center" wrapText="1"/>
    </xf>
    <xf numFmtId="0" fontId="25" fillId="0" borderId="34" xfId="44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4" xfId="0" applyBorder="1" applyAlignment="1">
      <alignment horizontal="left" vertical="center" wrapText="1"/>
    </xf>
    <xf numFmtId="0" fontId="25" fillId="35" borderId="33" xfId="44" applyFont="1" applyFill="1" applyBorder="1" applyAlignment="1">
      <alignment horizontal="center" vertical="center" wrapText="1"/>
    </xf>
    <xf numFmtId="0" fontId="25" fillId="35" borderId="33" xfId="44" applyFont="1" applyFill="1" applyBorder="1" applyAlignment="1">
      <alignment horizontal="left" vertical="center" wrapText="1"/>
    </xf>
    <xf numFmtId="0" fontId="25" fillId="36" borderId="33" xfId="44" applyFont="1" applyFill="1" applyBorder="1" applyAlignment="1">
      <alignment horizontal="center" vertical="center" wrapText="1"/>
    </xf>
    <xf numFmtId="0" fontId="25" fillId="36" borderId="33" xfId="44" applyFont="1" applyFill="1" applyBorder="1" applyAlignment="1">
      <alignment horizontal="left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left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 wrapText="1"/>
    </xf>
    <xf numFmtId="20" fontId="0" fillId="0" borderId="35" xfId="0" applyNumberFormat="1" applyBorder="1" applyAlignment="1">
      <alignment horizontal="center" vertical="center" wrapText="1"/>
    </xf>
    <xf numFmtId="0" fontId="25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28" fillId="0" borderId="24" xfId="0" applyNumberFormat="1" applyFont="1" applyBorder="1" applyAlignment="1">
      <alignment horizontal="center" vertical="center"/>
    </xf>
    <xf numFmtId="0" fontId="30" fillId="0" borderId="32" xfId="44" applyFont="1" applyBorder="1" applyAlignment="1">
      <alignment vertical="center" wrapText="1"/>
    </xf>
    <xf numFmtId="0" fontId="30" fillId="0" borderId="28" xfId="44" applyFont="1" applyBorder="1" applyAlignment="1">
      <alignment vertical="center" wrapText="1"/>
    </xf>
    <xf numFmtId="0" fontId="30" fillId="0" borderId="1" xfId="44" applyFont="1" applyBorder="1" applyAlignment="1">
      <alignment vertical="center"/>
    </xf>
    <xf numFmtId="49" fontId="32" fillId="0" borderId="35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left" vertical="center"/>
    </xf>
    <xf numFmtId="49" fontId="32" fillId="0" borderId="35" xfId="0" applyNumberFormat="1" applyFont="1" applyBorder="1" applyAlignment="1">
      <alignment vertical="center"/>
    </xf>
    <xf numFmtId="49" fontId="3" fillId="0" borderId="13" xfId="0" applyNumberFormat="1" applyFont="1" applyBorder="1" applyAlignment="1">
      <alignment horizontal="left" vertical="center"/>
    </xf>
    <xf numFmtId="0" fontId="29" fillId="0" borderId="0" xfId="0" applyFont="1" applyAlignment="1">
      <alignment horizontal="center"/>
    </xf>
    <xf numFmtId="49" fontId="32" fillId="0" borderId="35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vertical="center"/>
    </xf>
    <xf numFmtId="49" fontId="5" fillId="0" borderId="14" xfId="0" applyNumberFormat="1" applyFont="1" applyBorder="1" applyAlignment="1">
      <alignment horizontal="left" vertical="center"/>
    </xf>
  </cellXfs>
  <cellStyles count="45">
    <cellStyle name="20% - 1. jelölőszín 2" xfId="21" xr:uid="{A4D512E0-14E6-4ABF-A4C9-3EE66B890276}"/>
    <cellStyle name="20% - 2. jelölőszín 2" xfId="25" xr:uid="{25A086AB-A133-43AB-B3AE-49A660F709FC}"/>
    <cellStyle name="20% - 3. jelölőszín 2" xfId="29" xr:uid="{BDA360A8-9F3E-434C-BAF2-BFA939A4CA90}"/>
    <cellStyle name="20% - 4. jelölőszín 2" xfId="33" xr:uid="{9C3ABDF9-40FB-4867-8FD6-EDE9ED875C43}"/>
    <cellStyle name="20% - 5. jelölőszín 2" xfId="37" xr:uid="{C0926023-2420-4092-96F7-76492A621748}"/>
    <cellStyle name="20% - 6. jelölőszín 2" xfId="41" xr:uid="{A226EF81-F41A-48AF-A681-5C7486CDE676}"/>
    <cellStyle name="40% - 1. jelölőszín 2" xfId="22" xr:uid="{A3930788-3E8F-47EB-B016-7AF34F1B93F6}"/>
    <cellStyle name="40% - 2. jelölőszín 2" xfId="26" xr:uid="{8A848FF4-3F2A-4F6D-9BFA-719897C64394}"/>
    <cellStyle name="40% - 3. jelölőszín 2" xfId="30" xr:uid="{FCF0C933-D8D4-4725-B927-C41A480B1498}"/>
    <cellStyle name="40% - 4. jelölőszín 2" xfId="34" xr:uid="{BFDFC8BD-EED2-4A5C-9B0F-01B081D44418}"/>
    <cellStyle name="40% - 5. jelölőszín 2" xfId="38" xr:uid="{35E509EF-3D8F-49C6-923B-4A77D2FB7383}"/>
    <cellStyle name="40% - 6. jelölőszín 2" xfId="42" xr:uid="{78D0795C-99D0-4FAF-93C5-93A2ED9D82F5}"/>
    <cellStyle name="60% - 1. jelölőszín 2" xfId="23" xr:uid="{93D82F59-1FFF-42DC-BBC7-468168EB1FEE}"/>
    <cellStyle name="60% - 2. jelölőszín 2" xfId="27" xr:uid="{9953E5C6-CE70-4761-9CA2-BCB73F8E65EF}"/>
    <cellStyle name="60% - 3. jelölőszín 2" xfId="31" xr:uid="{085F3453-E872-4766-A2BE-46B93E0968A7}"/>
    <cellStyle name="60% - 4. jelölőszín 2" xfId="35" xr:uid="{F26EE3E2-EAAA-4759-B25F-6FE62608E08F}"/>
    <cellStyle name="60% - 5. jelölőszín 2" xfId="39" xr:uid="{D6C64CEB-A122-4B2C-B1EB-13A552BF568D}"/>
    <cellStyle name="60% - 6. jelölőszín 2" xfId="43" xr:uid="{73DF22DE-4F93-4E1A-9B61-FCC98A997220}"/>
    <cellStyle name="Bevitel 2" xfId="11" xr:uid="{68A981B6-2EFE-4C10-BA07-3015D3492FA3}"/>
    <cellStyle name="Cím 2" xfId="3" xr:uid="{3F0DA241-97CD-4A7B-9D2F-70AEF9338DF9}"/>
    <cellStyle name="Címsor 1 2" xfId="4" xr:uid="{80D42C4B-DCD9-4DB2-A426-CAF80D98B8F1}"/>
    <cellStyle name="Címsor 2 2" xfId="5" xr:uid="{BBBD0FF6-90FB-4186-B98E-159F2DEF9738}"/>
    <cellStyle name="Címsor 3 2" xfId="6" xr:uid="{A51BDA8B-ED95-4B45-93C8-417899B376E6}"/>
    <cellStyle name="Címsor 4 2" xfId="7" xr:uid="{AAA7899A-26CA-461F-A9DA-B2017C8DB53D}"/>
    <cellStyle name="Ellenőrzőcella 2" xfId="15" xr:uid="{44AF2B76-ADF0-439D-9BE3-9075522524A1}"/>
    <cellStyle name="Ezres" xfId="1" builtinId="3"/>
    <cellStyle name="Figyelmeztetés 2" xfId="16" xr:uid="{8F7101DB-A58F-467D-AE82-F1D6E141B116}"/>
    <cellStyle name="Hivatkozott cella 2" xfId="14" xr:uid="{6550BBDB-24C7-443C-AC6B-057A541D0A5F}"/>
    <cellStyle name="Jegyzet 2" xfId="17" xr:uid="{F915B9CD-3089-48F9-80F0-917FF96650BE}"/>
    <cellStyle name="Jelölőszín 1 2" xfId="20" xr:uid="{D6621FB7-829F-4926-AB78-134E7C2965C2}"/>
    <cellStyle name="Jelölőszín 2 2" xfId="24" xr:uid="{789C27C4-15AC-4FEA-A903-68E5F78C1F9A}"/>
    <cellStyle name="Jelölőszín 3 2" xfId="28" xr:uid="{6F373383-8FD3-4D50-9A74-F464CBF88508}"/>
    <cellStyle name="Jelölőszín 4 2" xfId="32" xr:uid="{9CF15B64-5DD9-4B25-8E7F-4E35A3D96F86}"/>
    <cellStyle name="Jelölőszín 5 2" xfId="36" xr:uid="{B6B4C5E9-2B28-4F65-AE2D-6D0965E47CEB}"/>
    <cellStyle name="Jelölőszín 6 2" xfId="40" xr:uid="{C0492327-77A9-4C50-857C-5ED4AB924F96}"/>
    <cellStyle name="Jó 2" xfId="8" xr:uid="{8730148C-C618-4B85-9348-9090C6203AE5}"/>
    <cellStyle name="Kimenet 2" xfId="12" xr:uid="{98D253ED-EBAC-4BF8-9635-DCA13DA094AE}"/>
    <cellStyle name="Magyarázó szöveg 2" xfId="18" xr:uid="{311EB40C-27B7-45F4-BEE8-7F05B791DE55}"/>
    <cellStyle name="Normál" xfId="0" builtinId="0"/>
    <cellStyle name="Normál 2" xfId="2" xr:uid="{B8C53E0A-F0ED-43D7-A72C-5BC43C0F0EBD}"/>
    <cellStyle name="Normál 3" xfId="44" xr:uid="{79AB10BB-B4BD-4F6D-A3D7-91650E5DC979}"/>
    <cellStyle name="Összesen 2" xfId="19" xr:uid="{A2A67791-00ED-4A67-8C26-1AD00DF19668}"/>
    <cellStyle name="Rossz 2" xfId="9" xr:uid="{CF35B225-734D-405F-B8AF-21EF38739264}"/>
    <cellStyle name="Semleges 2" xfId="10" xr:uid="{28530431-5C23-4476-81C6-E122AB7B8954}"/>
    <cellStyle name="Számítás 2" xfId="13" xr:uid="{DB7E9960-D205-4ACD-841E-1EC1BFDC5A72}"/>
  </cellStyles>
  <dxfs count="1">
    <dxf>
      <font>
        <color theme="0" tint="-0.1499679555650502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24CF-4F76-4C4E-8462-FC282DA9C82A}">
  <sheetPr>
    <tabColor theme="1"/>
  </sheetPr>
  <dimension ref="A1:Q17"/>
  <sheetViews>
    <sheetView showGridLines="0" tabSelected="1" zoomScale="120" zoomScaleNormal="120" workbookViewId="0">
      <selection sqref="A1:C1"/>
    </sheetView>
  </sheetViews>
  <sheetFormatPr defaultColWidth="11.42578125" defaultRowHeight="15" x14ac:dyDescent="0.25"/>
  <cols>
    <col min="1" max="3" width="9.7109375" customWidth="1"/>
    <col min="4" max="17" width="13.7109375" customWidth="1"/>
  </cols>
  <sheetData>
    <row r="1" spans="1:17" s="13" customFormat="1" ht="20.100000000000001" customHeight="1" thickBot="1" x14ac:dyDescent="0.3">
      <c r="A1" s="95" t="s">
        <v>166</v>
      </c>
      <c r="B1" s="95"/>
      <c r="C1" s="96"/>
      <c r="D1" s="97" t="s">
        <v>13</v>
      </c>
      <c r="E1" s="94"/>
      <c r="F1" s="93" t="s">
        <v>12</v>
      </c>
      <c r="G1" s="94"/>
      <c r="H1" s="93" t="s">
        <v>163</v>
      </c>
      <c r="I1" s="94"/>
      <c r="J1" s="93" t="s">
        <v>136</v>
      </c>
      <c r="K1" s="94"/>
      <c r="L1" s="93" t="s">
        <v>135</v>
      </c>
      <c r="M1" s="94"/>
      <c r="N1" s="93" t="s">
        <v>14</v>
      </c>
      <c r="O1" s="94"/>
      <c r="P1" s="93" t="s">
        <v>15</v>
      </c>
      <c r="Q1" s="94"/>
    </row>
    <row r="2" spans="1:17" x14ac:dyDescent="0.25">
      <c r="A2" s="49"/>
      <c r="B2" s="16" t="s">
        <v>3</v>
      </c>
      <c r="C2" s="17" t="s">
        <v>22</v>
      </c>
      <c r="D2" s="6" t="s">
        <v>6</v>
      </c>
      <c r="E2" s="2" t="s">
        <v>5</v>
      </c>
      <c r="F2" s="6" t="s">
        <v>6</v>
      </c>
      <c r="G2" s="2" t="s">
        <v>5</v>
      </c>
      <c r="H2" s="6" t="s">
        <v>6</v>
      </c>
      <c r="I2" s="2" t="s">
        <v>5</v>
      </c>
      <c r="J2" s="6" t="s">
        <v>6</v>
      </c>
      <c r="K2" s="2" t="s">
        <v>5</v>
      </c>
      <c r="L2" s="6" t="s">
        <v>6</v>
      </c>
      <c r="M2" s="2" t="s">
        <v>5</v>
      </c>
      <c r="N2" s="6" t="s">
        <v>6</v>
      </c>
      <c r="O2" s="2" t="s">
        <v>5</v>
      </c>
      <c r="P2" s="6" t="s">
        <v>6</v>
      </c>
      <c r="Q2" s="2" t="s">
        <v>5</v>
      </c>
    </row>
    <row r="3" spans="1:17" x14ac:dyDescent="0.25">
      <c r="A3" s="50"/>
      <c r="B3" s="18" t="s">
        <v>2</v>
      </c>
      <c r="C3" s="18">
        <v>12</v>
      </c>
      <c r="D3" s="11">
        <v>7</v>
      </c>
      <c r="E3" s="1">
        <f>$C3*D3</f>
        <v>84</v>
      </c>
      <c r="F3" s="11">
        <v>6</v>
      </c>
      <c r="G3" s="1">
        <f>$C3*F3</f>
        <v>72</v>
      </c>
      <c r="H3" s="11">
        <v>5</v>
      </c>
      <c r="I3" s="1">
        <f>$C3*H3</f>
        <v>60</v>
      </c>
      <c r="J3" s="11">
        <v>7</v>
      </c>
      <c r="K3" s="1">
        <f>$C3*J3</f>
        <v>84</v>
      </c>
      <c r="L3" s="11">
        <v>5</v>
      </c>
      <c r="M3" s="1">
        <f t="shared" ref="M3:M12" si="0">$C3*L3</f>
        <v>60</v>
      </c>
      <c r="N3" s="11">
        <v>0</v>
      </c>
      <c r="O3" s="1">
        <f t="shared" ref="O3:O12" si="1">$C3*N3</f>
        <v>0</v>
      </c>
      <c r="P3" s="11">
        <v>7</v>
      </c>
      <c r="Q3" s="1">
        <f t="shared" ref="Q3:Q12" si="2">$C3*P3</f>
        <v>84</v>
      </c>
    </row>
    <row r="4" spans="1:17" x14ac:dyDescent="0.25">
      <c r="A4" s="50"/>
      <c r="B4" s="18" t="s">
        <v>1</v>
      </c>
      <c r="C4" s="18">
        <v>4</v>
      </c>
      <c r="D4" s="11">
        <v>6</v>
      </c>
      <c r="E4" s="1">
        <f t="shared" ref="E4:E12" si="3">$C4*D4</f>
        <v>24</v>
      </c>
      <c r="F4" s="11">
        <v>6</v>
      </c>
      <c r="G4" s="1">
        <f t="shared" ref="G4:G12" si="4">$C4*F4</f>
        <v>24</v>
      </c>
      <c r="H4" s="11">
        <v>5</v>
      </c>
      <c r="I4" s="1">
        <f t="shared" ref="I4:I12" si="5">$C4*H4</f>
        <v>20</v>
      </c>
      <c r="J4" s="11">
        <v>7</v>
      </c>
      <c r="K4" s="1">
        <f t="shared" ref="K4:K12" si="6">$C4*J4</f>
        <v>28</v>
      </c>
      <c r="L4" s="11">
        <v>5</v>
      </c>
      <c r="M4" s="1">
        <f t="shared" si="0"/>
        <v>20</v>
      </c>
      <c r="N4" s="11">
        <v>0</v>
      </c>
      <c r="O4" s="1">
        <f t="shared" si="1"/>
        <v>0</v>
      </c>
      <c r="P4" s="11">
        <v>6</v>
      </c>
      <c r="Q4" s="1">
        <f t="shared" si="2"/>
        <v>24</v>
      </c>
    </row>
    <row r="5" spans="1:17" x14ac:dyDescent="0.25">
      <c r="A5" s="50"/>
      <c r="B5" s="18" t="s">
        <v>18</v>
      </c>
      <c r="C5" s="18">
        <v>4</v>
      </c>
      <c r="D5" s="11">
        <v>7</v>
      </c>
      <c r="E5" s="1">
        <f t="shared" si="3"/>
        <v>28</v>
      </c>
      <c r="F5" s="11">
        <v>7</v>
      </c>
      <c r="G5" s="1">
        <f t="shared" si="4"/>
        <v>28</v>
      </c>
      <c r="H5" s="11">
        <v>0</v>
      </c>
      <c r="I5" s="1">
        <f t="shared" si="5"/>
        <v>0</v>
      </c>
      <c r="J5" s="11">
        <v>6</v>
      </c>
      <c r="K5" s="1">
        <f t="shared" si="6"/>
        <v>24</v>
      </c>
      <c r="L5" s="11">
        <v>0</v>
      </c>
      <c r="M5" s="1">
        <f t="shared" si="0"/>
        <v>0</v>
      </c>
      <c r="N5" s="11">
        <v>7</v>
      </c>
      <c r="O5" s="1">
        <f t="shared" si="1"/>
        <v>28</v>
      </c>
      <c r="P5" s="11">
        <v>0</v>
      </c>
      <c r="Q5" s="1">
        <f t="shared" si="2"/>
        <v>0</v>
      </c>
    </row>
    <row r="6" spans="1:17" x14ac:dyDescent="0.25">
      <c r="A6" s="50"/>
      <c r="B6" s="18" t="s">
        <v>19</v>
      </c>
      <c r="C6" s="18">
        <v>1</v>
      </c>
      <c r="D6" s="11">
        <v>7</v>
      </c>
      <c r="E6" s="1">
        <f t="shared" si="3"/>
        <v>7</v>
      </c>
      <c r="F6" s="11">
        <v>7</v>
      </c>
      <c r="G6" s="1">
        <f t="shared" si="4"/>
        <v>7</v>
      </c>
      <c r="H6" s="11">
        <v>0</v>
      </c>
      <c r="I6" s="1">
        <f t="shared" si="5"/>
        <v>0</v>
      </c>
      <c r="J6" s="11">
        <v>6</v>
      </c>
      <c r="K6" s="1">
        <f t="shared" si="6"/>
        <v>6</v>
      </c>
      <c r="L6" s="11">
        <v>0</v>
      </c>
      <c r="M6" s="1">
        <f t="shared" si="0"/>
        <v>0</v>
      </c>
      <c r="N6" s="11">
        <v>7</v>
      </c>
      <c r="O6" s="1">
        <f t="shared" si="1"/>
        <v>7</v>
      </c>
      <c r="P6" s="11">
        <v>0</v>
      </c>
      <c r="Q6" s="1">
        <f t="shared" si="2"/>
        <v>0</v>
      </c>
    </row>
    <row r="7" spans="1:17" x14ac:dyDescent="0.25">
      <c r="A7" s="52"/>
      <c r="B7" s="19" t="s">
        <v>92</v>
      </c>
      <c r="C7" s="18">
        <v>0</v>
      </c>
      <c r="D7" s="11">
        <v>0</v>
      </c>
      <c r="E7" s="1">
        <f t="shared" ref="E7" si="7">$C7*D7</f>
        <v>0</v>
      </c>
      <c r="F7" s="11">
        <v>0</v>
      </c>
      <c r="G7" s="1">
        <f t="shared" ref="G7" si="8">$C7*F7</f>
        <v>0</v>
      </c>
      <c r="H7" s="11">
        <v>0</v>
      </c>
      <c r="I7" s="1">
        <f t="shared" si="5"/>
        <v>0</v>
      </c>
      <c r="J7" s="11">
        <v>0</v>
      </c>
      <c r="K7" s="1">
        <f t="shared" ref="K7" si="9">$C7*J7</f>
        <v>0</v>
      </c>
      <c r="L7" s="11">
        <v>0</v>
      </c>
      <c r="M7" s="1">
        <f t="shared" ref="M7" si="10">$C7*L7</f>
        <v>0</v>
      </c>
      <c r="N7" s="11">
        <v>0</v>
      </c>
      <c r="O7" s="1">
        <f t="shared" ref="O7" si="11">$C7*N7</f>
        <v>0</v>
      </c>
      <c r="P7" s="11">
        <v>0</v>
      </c>
      <c r="Q7" s="1">
        <f t="shared" ref="Q7" si="12">$C7*P7</f>
        <v>0</v>
      </c>
    </row>
    <row r="8" spans="1:17" x14ac:dyDescent="0.25">
      <c r="A8" s="52"/>
      <c r="B8" s="19" t="s">
        <v>133</v>
      </c>
      <c r="C8" s="18">
        <v>0</v>
      </c>
      <c r="D8" s="11">
        <v>0</v>
      </c>
      <c r="E8" s="1">
        <f t="shared" si="3"/>
        <v>0</v>
      </c>
      <c r="F8" s="11">
        <v>0</v>
      </c>
      <c r="G8" s="1">
        <f t="shared" si="4"/>
        <v>0</v>
      </c>
      <c r="H8" s="11">
        <v>0</v>
      </c>
      <c r="I8" s="1">
        <f t="shared" si="5"/>
        <v>0</v>
      </c>
      <c r="J8" s="11">
        <v>0</v>
      </c>
      <c r="K8" s="1">
        <f t="shared" si="6"/>
        <v>0</v>
      </c>
      <c r="L8" s="11">
        <v>0</v>
      </c>
      <c r="M8" s="1">
        <f t="shared" si="0"/>
        <v>0</v>
      </c>
      <c r="N8" s="11">
        <v>0</v>
      </c>
      <c r="O8" s="1">
        <f t="shared" si="1"/>
        <v>0</v>
      </c>
      <c r="P8" s="11">
        <v>0</v>
      </c>
      <c r="Q8" s="1">
        <f t="shared" si="2"/>
        <v>0</v>
      </c>
    </row>
    <row r="9" spans="1:17" x14ac:dyDescent="0.25">
      <c r="A9" s="50"/>
      <c r="B9" s="19" t="s">
        <v>16</v>
      </c>
      <c r="C9" s="18">
        <v>0</v>
      </c>
      <c r="D9" s="11">
        <v>0</v>
      </c>
      <c r="E9" s="1">
        <f t="shared" si="3"/>
        <v>0</v>
      </c>
      <c r="F9" s="11">
        <v>0</v>
      </c>
      <c r="G9" s="1">
        <f t="shared" si="4"/>
        <v>0</v>
      </c>
      <c r="H9" s="11">
        <v>0</v>
      </c>
      <c r="I9" s="1">
        <f t="shared" si="5"/>
        <v>0</v>
      </c>
      <c r="J9" s="11">
        <v>0</v>
      </c>
      <c r="K9" s="1">
        <f t="shared" si="6"/>
        <v>0</v>
      </c>
      <c r="L9" s="11">
        <v>0</v>
      </c>
      <c r="M9" s="1">
        <f t="shared" si="0"/>
        <v>0</v>
      </c>
      <c r="N9" s="11">
        <v>0</v>
      </c>
      <c r="O9" s="1">
        <f t="shared" si="1"/>
        <v>0</v>
      </c>
      <c r="P9" s="11">
        <v>0</v>
      </c>
      <c r="Q9" s="1">
        <f t="shared" si="2"/>
        <v>0</v>
      </c>
    </row>
    <row r="10" spans="1:17" x14ac:dyDescent="0.25">
      <c r="A10" s="50"/>
      <c r="B10" s="19" t="s">
        <v>16</v>
      </c>
      <c r="C10" s="18">
        <v>0</v>
      </c>
      <c r="D10" s="11">
        <v>0</v>
      </c>
      <c r="E10" s="1">
        <f t="shared" si="3"/>
        <v>0</v>
      </c>
      <c r="F10" s="11">
        <v>0</v>
      </c>
      <c r="G10" s="1">
        <f t="shared" si="4"/>
        <v>0</v>
      </c>
      <c r="H10" s="11">
        <v>0</v>
      </c>
      <c r="I10" s="1">
        <f t="shared" si="5"/>
        <v>0</v>
      </c>
      <c r="J10" s="11">
        <v>0</v>
      </c>
      <c r="K10" s="1">
        <f t="shared" si="6"/>
        <v>0</v>
      </c>
      <c r="L10" s="11">
        <v>0</v>
      </c>
      <c r="M10" s="1">
        <f t="shared" si="0"/>
        <v>0</v>
      </c>
      <c r="N10" s="11">
        <v>0</v>
      </c>
      <c r="O10" s="1">
        <f t="shared" si="1"/>
        <v>0</v>
      </c>
      <c r="P10" s="11">
        <v>0</v>
      </c>
      <c r="Q10" s="1">
        <f t="shared" si="2"/>
        <v>0</v>
      </c>
    </row>
    <row r="11" spans="1:17" x14ac:dyDescent="0.25">
      <c r="A11" s="50"/>
      <c r="B11" s="19" t="s">
        <v>16</v>
      </c>
      <c r="C11" s="18">
        <v>0</v>
      </c>
      <c r="D11" s="11">
        <v>0</v>
      </c>
      <c r="E11" s="1">
        <f t="shared" si="3"/>
        <v>0</v>
      </c>
      <c r="F11" s="11">
        <v>0</v>
      </c>
      <c r="G11" s="1">
        <f t="shared" si="4"/>
        <v>0</v>
      </c>
      <c r="H11" s="11">
        <v>0</v>
      </c>
      <c r="I11" s="1">
        <f t="shared" si="5"/>
        <v>0</v>
      </c>
      <c r="J11" s="11">
        <v>0</v>
      </c>
      <c r="K11" s="1">
        <f t="shared" si="6"/>
        <v>0</v>
      </c>
      <c r="L11" s="11">
        <v>0</v>
      </c>
      <c r="M11" s="1">
        <f t="shared" si="0"/>
        <v>0</v>
      </c>
      <c r="N11" s="11">
        <v>0</v>
      </c>
      <c r="O11" s="1">
        <f t="shared" si="1"/>
        <v>0</v>
      </c>
      <c r="P11" s="11">
        <v>0</v>
      </c>
      <c r="Q11" s="1">
        <f t="shared" si="2"/>
        <v>0</v>
      </c>
    </row>
    <row r="12" spans="1:17" ht="15.75" thickBot="1" x14ac:dyDescent="0.3">
      <c r="A12" s="51"/>
      <c r="B12" s="20" t="s">
        <v>16</v>
      </c>
      <c r="C12" s="21">
        <v>0</v>
      </c>
      <c r="D12" s="11">
        <v>0</v>
      </c>
      <c r="E12" s="1">
        <f t="shared" si="3"/>
        <v>0</v>
      </c>
      <c r="F12" s="11">
        <v>0</v>
      </c>
      <c r="G12" s="1">
        <f t="shared" si="4"/>
        <v>0</v>
      </c>
      <c r="H12" s="11">
        <v>0</v>
      </c>
      <c r="I12" s="1">
        <f t="shared" si="5"/>
        <v>0</v>
      </c>
      <c r="J12" s="11">
        <v>0</v>
      </c>
      <c r="K12" s="1">
        <f t="shared" si="6"/>
        <v>0</v>
      </c>
      <c r="L12" s="11">
        <v>0</v>
      </c>
      <c r="M12" s="1">
        <f t="shared" si="0"/>
        <v>0</v>
      </c>
      <c r="N12" s="11">
        <v>0</v>
      </c>
      <c r="O12" s="1">
        <f t="shared" si="1"/>
        <v>0</v>
      </c>
      <c r="P12" s="11">
        <v>0</v>
      </c>
      <c r="Q12" s="1">
        <f t="shared" si="2"/>
        <v>0</v>
      </c>
    </row>
    <row r="13" spans="1:17" ht="15.75" thickBot="1" x14ac:dyDescent="0.3">
      <c r="A13" s="5"/>
      <c r="C13" s="7"/>
      <c r="D13" s="14" t="s">
        <v>4</v>
      </c>
      <c r="E13" s="1">
        <f>SUM(E3:E12)</f>
        <v>143</v>
      </c>
      <c r="F13" s="3" t="s">
        <v>4</v>
      </c>
      <c r="G13" s="1">
        <f>SUM(G3:G12)</f>
        <v>131</v>
      </c>
      <c r="H13" s="3" t="s">
        <v>4</v>
      </c>
      <c r="I13" s="1">
        <f>SUM(I3:I12)</f>
        <v>80</v>
      </c>
      <c r="J13" s="3" t="s">
        <v>4</v>
      </c>
      <c r="K13" s="1">
        <f>SUM(K3:K12)</f>
        <v>142</v>
      </c>
      <c r="L13" s="3" t="s">
        <v>4</v>
      </c>
      <c r="M13" s="1">
        <f>SUM(M3:M12)</f>
        <v>80</v>
      </c>
      <c r="N13" s="3" t="s">
        <v>4</v>
      </c>
      <c r="O13" s="1">
        <f>SUM(O3:O12)</f>
        <v>35</v>
      </c>
      <c r="P13" s="3" t="s">
        <v>4</v>
      </c>
      <c r="Q13" s="1">
        <f>SUM(Q3:Q12)</f>
        <v>108</v>
      </c>
    </row>
    <row r="14" spans="1:17" ht="15.75" thickBot="1" x14ac:dyDescent="0.3">
      <c r="A14" s="12" t="s">
        <v>17</v>
      </c>
      <c r="B14" s="25"/>
      <c r="C14" s="7"/>
      <c r="D14" s="15">
        <v>1</v>
      </c>
      <c r="E14" s="8">
        <f>E13*D14</f>
        <v>143</v>
      </c>
      <c r="F14" s="4">
        <v>1</v>
      </c>
      <c r="G14" s="8">
        <f>G13*F14</f>
        <v>131</v>
      </c>
      <c r="H14" s="4">
        <v>1</v>
      </c>
      <c r="I14" s="8">
        <f>I13*H14</f>
        <v>80</v>
      </c>
      <c r="J14" s="4">
        <v>1</v>
      </c>
      <c r="K14" s="8">
        <f>K13*J14</f>
        <v>142</v>
      </c>
      <c r="L14" s="4">
        <v>1</v>
      </c>
      <c r="M14" s="8">
        <f>M13*L14</f>
        <v>80</v>
      </c>
      <c r="N14" s="4">
        <v>1</v>
      </c>
      <c r="O14" s="8">
        <f>O13*N14</f>
        <v>35</v>
      </c>
      <c r="P14" s="4">
        <v>1</v>
      </c>
      <c r="Q14" s="8">
        <f>Q13*P14</f>
        <v>108</v>
      </c>
    </row>
    <row r="15" spans="1:17" x14ac:dyDescent="0.25">
      <c r="A15" s="89" t="s">
        <v>11</v>
      </c>
      <c r="B15" s="89"/>
      <c r="C15" s="90"/>
      <c r="D15" s="9" t="s">
        <v>7</v>
      </c>
      <c r="E15" s="26">
        <f>E14*$B$14</f>
        <v>0</v>
      </c>
      <c r="F15" s="9" t="s">
        <v>7</v>
      </c>
      <c r="G15" s="26">
        <f>G14*$B$14</f>
        <v>0</v>
      </c>
      <c r="H15" s="9" t="s">
        <v>7</v>
      </c>
      <c r="I15" s="26">
        <f>I14*$B$14</f>
        <v>0</v>
      </c>
      <c r="J15" s="9" t="s">
        <v>7</v>
      </c>
      <c r="K15" s="26">
        <f>K14*$B$14</f>
        <v>0</v>
      </c>
      <c r="L15" s="9" t="s">
        <v>7</v>
      </c>
      <c r="M15" s="26">
        <f>M14*$B$14</f>
        <v>0</v>
      </c>
      <c r="N15" s="9" t="s">
        <v>7</v>
      </c>
      <c r="O15" s="26">
        <f>O14*$B$14</f>
        <v>0</v>
      </c>
      <c r="P15" s="9" t="s">
        <v>7</v>
      </c>
      <c r="Q15" s="26">
        <f>Q14*$B$14</f>
        <v>0</v>
      </c>
    </row>
    <row r="16" spans="1:17" ht="15" customHeight="1" x14ac:dyDescent="0.25">
      <c r="A16" s="89"/>
      <c r="B16" s="89"/>
      <c r="C16" s="90"/>
      <c r="D16" s="9" t="s">
        <v>8</v>
      </c>
      <c r="E16" s="26">
        <f>E15*1.27</f>
        <v>0</v>
      </c>
      <c r="F16" s="9" t="s">
        <v>8</v>
      </c>
      <c r="G16" s="26">
        <f>G15*1.27</f>
        <v>0</v>
      </c>
      <c r="H16" s="9" t="s">
        <v>8</v>
      </c>
      <c r="I16" s="26">
        <f>I15*1.27</f>
        <v>0</v>
      </c>
      <c r="J16" s="9" t="s">
        <v>8</v>
      </c>
      <c r="K16" s="26">
        <f>K15*1.27</f>
        <v>0</v>
      </c>
      <c r="L16" s="9" t="s">
        <v>8</v>
      </c>
      <c r="M16" s="26">
        <f>M15*1.27</f>
        <v>0</v>
      </c>
      <c r="N16" s="9" t="s">
        <v>8</v>
      </c>
      <c r="O16" s="26">
        <f>O15*1.27</f>
        <v>0</v>
      </c>
      <c r="P16" s="9" t="s">
        <v>8</v>
      </c>
      <c r="Q16" s="26">
        <f>Q15*1.27</f>
        <v>0</v>
      </c>
    </row>
    <row r="17" spans="1:17" ht="15.75" thickBot="1" x14ac:dyDescent="0.3">
      <c r="A17" s="91"/>
      <c r="B17" s="91"/>
      <c r="C17" s="92"/>
      <c r="D17" s="10" t="s">
        <v>9</v>
      </c>
      <c r="E17" s="27">
        <f>E16-E15</f>
        <v>0</v>
      </c>
      <c r="F17" s="10" t="s">
        <v>9</v>
      </c>
      <c r="G17" s="27">
        <f>G16-G15</f>
        <v>0</v>
      </c>
      <c r="H17" s="10" t="s">
        <v>9</v>
      </c>
      <c r="I17" s="27">
        <f>I16-I15</f>
        <v>0</v>
      </c>
      <c r="J17" s="10" t="s">
        <v>9</v>
      </c>
      <c r="K17" s="27">
        <f>K16-K15</f>
        <v>0</v>
      </c>
      <c r="L17" s="10" t="s">
        <v>9</v>
      </c>
      <c r="M17" s="27">
        <f>M16-M15</f>
        <v>0</v>
      </c>
      <c r="N17" s="10" t="s">
        <v>9</v>
      </c>
      <c r="O17" s="27">
        <f>O16-O15</f>
        <v>0</v>
      </c>
      <c r="P17" s="10" t="s">
        <v>9</v>
      </c>
      <c r="Q17" s="27">
        <f>Q16-Q15</f>
        <v>0</v>
      </c>
    </row>
  </sheetData>
  <mergeCells count="9">
    <mergeCell ref="A15:C17"/>
    <mergeCell ref="L1:M1"/>
    <mergeCell ref="P1:Q1"/>
    <mergeCell ref="A1:C1"/>
    <mergeCell ref="N1:O1"/>
    <mergeCell ref="J1:K1"/>
    <mergeCell ref="F1:G1"/>
    <mergeCell ref="D1:E1"/>
    <mergeCell ref="H1:I1"/>
  </mergeCells>
  <conditionalFormatting sqref="C3:Q12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AA01-3428-4376-B28C-2BBC2B8AF0CB}">
  <sheetPr>
    <tabColor theme="3" tint="0.79998168889431442"/>
    <pageSetUpPr fitToPage="1"/>
  </sheetPr>
  <dimension ref="A1:F64"/>
  <sheetViews>
    <sheetView showGridLines="0" zoomScale="130" zoomScaleNormal="130" workbookViewId="0">
      <selection activeCell="C4" sqref="C4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7" t="s">
        <v>82</v>
      </c>
      <c r="B1" s="87"/>
      <c r="C1" s="87"/>
      <c r="D1" s="87"/>
      <c r="E1" s="87"/>
      <c r="F1" s="87"/>
    </row>
    <row r="2" spans="1:6" ht="9.9499999999999993" customHeight="1" x14ac:dyDescent="0.25"/>
    <row r="3" spans="1:6" ht="30" customHeight="1" x14ac:dyDescent="0.25">
      <c r="A3" s="84" t="s">
        <v>20</v>
      </c>
      <c r="B3" s="84"/>
      <c r="C3" s="86" t="s">
        <v>167</v>
      </c>
      <c r="D3" s="86"/>
      <c r="E3" s="86"/>
      <c r="F3" s="38" t="s">
        <v>2</v>
      </c>
    </row>
    <row r="4" spans="1:6" ht="18" customHeight="1" x14ac:dyDescent="0.25">
      <c r="A4" s="85" t="s">
        <v>21</v>
      </c>
      <c r="B4" s="85"/>
      <c r="C4" s="83" t="s">
        <v>187</v>
      </c>
      <c r="D4" s="88" t="s">
        <v>184</v>
      </c>
      <c r="E4" s="88"/>
      <c r="F4" s="88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66" t="s">
        <v>73</v>
      </c>
      <c r="B6" s="34" t="s">
        <v>182</v>
      </c>
      <c r="C6" s="34" t="s">
        <v>183</v>
      </c>
      <c r="D6" s="34" t="s">
        <v>78</v>
      </c>
      <c r="E6" s="34" t="s">
        <v>79</v>
      </c>
      <c r="F6" s="31" t="s">
        <v>75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50</v>
      </c>
      <c r="C8" s="70" t="s">
        <v>51</v>
      </c>
      <c r="D8" s="72" t="s">
        <v>52</v>
      </c>
      <c r="E8" s="70" t="s">
        <v>49</v>
      </c>
      <c r="F8" s="71" t="s">
        <v>13</v>
      </c>
    </row>
    <row r="9" spans="1:6" ht="15" customHeight="1" x14ac:dyDescent="0.25">
      <c r="A9" s="60">
        <v>1</v>
      </c>
      <c r="B9" s="70" t="s">
        <v>53</v>
      </c>
      <c r="C9" s="70" t="s">
        <v>54</v>
      </c>
      <c r="D9" s="70" t="s">
        <v>55</v>
      </c>
      <c r="E9" s="72" t="s">
        <v>56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63">
        <v>2</v>
      </c>
      <c r="B11" s="70" t="s">
        <v>41</v>
      </c>
      <c r="C11" s="70" t="s">
        <v>44</v>
      </c>
      <c r="D11" s="72" t="s">
        <v>45</v>
      </c>
      <c r="E11" s="70" t="s">
        <v>46</v>
      </c>
      <c r="F11" s="71" t="s">
        <v>12</v>
      </c>
    </row>
    <row r="12" spans="1:6" ht="15" customHeight="1" x14ac:dyDescent="0.25">
      <c r="A12" s="60">
        <v>2</v>
      </c>
      <c r="B12" s="70" t="s">
        <v>41</v>
      </c>
      <c r="C12" s="70" t="s">
        <v>47</v>
      </c>
      <c r="D12" s="70" t="s">
        <v>48</v>
      </c>
      <c r="E12" s="70" t="s">
        <v>49</v>
      </c>
      <c r="F12" s="71" t="s">
        <v>12</v>
      </c>
    </row>
    <row r="13" spans="1:6" ht="15" customHeight="1" x14ac:dyDescent="0.25">
      <c r="A13" s="60">
        <v>2</v>
      </c>
      <c r="B13" s="70" t="s">
        <v>41</v>
      </c>
      <c r="C13" s="70" t="s">
        <v>40</v>
      </c>
      <c r="D13" s="70" t="s">
        <v>42</v>
      </c>
      <c r="E13" s="70" t="s">
        <v>43</v>
      </c>
      <c r="F13" s="71" t="s">
        <v>12</v>
      </c>
    </row>
    <row r="14" spans="1:6" ht="15" customHeight="1" x14ac:dyDescent="0.25">
      <c r="A14" s="60">
        <v>2</v>
      </c>
      <c r="B14" s="70" t="s">
        <v>57</v>
      </c>
      <c r="C14" s="70" t="s">
        <v>40</v>
      </c>
      <c r="D14" s="70" t="s">
        <v>60</v>
      </c>
      <c r="E14" s="72" t="s">
        <v>61</v>
      </c>
      <c r="F14" s="71" t="s">
        <v>12</v>
      </c>
    </row>
    <row r="15" spans="1:6" ht="15" customHeight="1" x14ac:dyDescent="0.25">
      <c r="A15" s="60">
        <v>2</v>
      </c>
      <c r="B15" s="70" t="s">
        <v>62</v>
      </c>
      <c r="C15" s="70" t="s">
        <v>63</v>
      </c>
      <c r="D15" s="70" t="s">
        <v>64</v>
      </c>
      <c r="E15" s="70" t="s">
        <v>65</v>
      </c>
      <c r="F15" s="71" t="s">
        <v>12</v>
      </c>
    </row>
    <row r="16" spans="1:6" ht="15" customHeight="1" x14ac:dyDescent="0.25">
      <c r="A16" s="60">
        <v>2</v>
      </c>
      <c r="B16" s="70" t="s">
        <v>29</v>
      </c>
      <c r="C16" s="70" t="s">
        <v>30</v>
      </c>
      <c r="D16" s="70" t="s">
        <v>31</v>
      </c>
      <c r="E16" s="70" t="s">
        <v>32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60">
        <v>3</v>
      </c>
      <c r="B18" s="70" t="s">
        <v>62</v>
      </c>
      <c r="C18" s="70" t="s">
        <v>37</v>
      </c>
      <c r="D18" s="72" t="s">
        <v>153</v>
      </c>
      <c r="E18" s="70" t="s">
        <v>112</v>
      </c>
      <c r="F18" s="71" t="s">
        <v>154</v>
      </c>
    </row>
    <row r="19" spans="1:6" ht="15" customHeight="1" x14ac:dyDescent="0.25">
      <c r="A19" s="60">
        <v>3</v>
      </c>
      <c r="B19" s="70" t="s">
        <v>62</v>
      </c>
      <c r="C19" s="70" t="s">
        <v>40</v>
      </c>
      <c r="D19" s="70" t="s">
        <v>155</v>
      </c>
      <c r="E19" s="70" t="s">
        <v>156</v>
      </c>
      <c r="F19" s="71" t="s">
        <v>154</v>
      </c>
    </row>
    <row r="20" spans="1:6" ht="15" customHeight="1" x14ac:dyDescent="0.25">
      <c r="A20" s="63">
        <v>3</v>
      </c>
      <c r="B20" s="70" t="s">
        <v>62</v>
      </c>
      <c r="C20" s="70" t="s">
        <v>157</v>
      </c>
      <c r="D20" s="70" t="s">
        <v>158</v>
      </c>
      <c r="E20" s="72" t="s">
        <v>151</v>
      </c>
      <c r="F20" s="71" t="s">
        <v>154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60">
        <v>4</v>
      </c>
      <c r="B22" s="70" t="s">
        <v>66</v>
      </c>
      <c r="C22" s="70" t="s">
        <v>44</v>
      </c>
      <c r="D22" s="72" t="s">
        <v>168</v>
      </c>
      <c r="E22" s="70" t="s">
        <v>169</v>
      </c>
      <c r="F22" s="71" t="s">
        <v>176</v>
      </c>
    </row>
    <row r="23" spans="1:6" ht="15" customHeight="1" x14ac:dyDescent="0.25">
      <c r="A23" s="60">
        <v>4</v>
      </c>
      <c r="B23" s="70" t="s">
        <v>170</v>
      </c>
      <c r="C23" s="70" t="s">
        <v>171</v>
      </c>
      <c r="D23" s="70" t="s">
        <v>162</v>
      </c>
      <c r="E23" s="72" t="s">
        <v>172</v>
      </c>
      <c r="F23" s="71" t="s">
        <v>176</v>
      </c>
    </row>
    <row r="24" spans="1:6" ht="15" customHeight="1" x14ac:dyDescent="0.25">
      <c r="A24" s="60">
        <v>4</v>
      </c>
      <c r="B24" s="70" t="s">
        <v>57</v>
      </c>
      <c r="C24" s="70" t="s">
        <v>37</v>
      </c>
      <c r="D24" s="70" t="s">
        <v>58</v>
      </c>
      <c r="E24" s="70" t="s">
        <v>59</v>
      </c>
      <c r="F24" s="71" t="s">
        <v>176</v>
      </c>
    </row>
    <row r="25" spans="1:6" ht="15" customHeight="1" x14ac:dyDescent="0.25">
      <c r="A25" s="63">
        <v>4</v>
      </c>
      <c r="B25" s="70" t="s">
        <v>90</v>
      </c>
      <c r="C25" s="70" t="s">
        <v>34</v>
      </c>
      <c r="D25" s="70" t="s">
        <v>93</v>
      </c>
      <c r="E25" s="70" t="s">
        <v>94</v>
      </c>
      <c r="F25" s="71" t="s">
        <v>176</v>
      </c>
    </row>
    <row r="26" spans="1:6" ht="15" customHeight="1" x14ac:dyDescent="0.25">
      <c r="A26" s="63"/>
      <c r="B26" s="64"/>
      <c r="C26" s="64"/>
      <c r="D26" s="64"/>
      <c r="E26" s="64"/>
      <c r="F26" s="65"/>
    </row>
    <row r="27" spans="1:6" ht="15" customHeight="1" x14ac:dyDescent="0.25">
      <c r="A27" s="60">
        <v>5</v>
      </c>
      <c r="B27" s="70" t="s">
        <v>24</v>
      </c>
      <c r="C27" s="70" t="s">
        <v>25</v>
      </c>
      <c r="D27" s="72" t="s">
        <v>26</v>
      </c>
      <c r="E27" s="70" t="s">
        <v>27</v>
      </c>
      <c r="F27" s="71" t="s">
        <v>28</v>
      </c>
    </row>
    <row r="28" spans="1:6" ht="15" customHeight="1" x14ac:dyDescent="0.25">
      <c r="A28" s="60">
        <v>5</v>
      </c>
      <c r="B28" s="70" t="s">
        <v>69</v>
      </c>
      <c r="C28" s="70" t="s">
        <v>70</v>
      </c>
      <c r="D28" s="70" t="s">
        <v>71</v>
      </c>
      <c r="E28" s="72" t="s">
        <v>72</v>
      </c>
      <c r="F28" s="71" t="s">
        <v>28</v>
      </c>
    </row>
    <row r="29" spans="1:6" ht="15" customHeight="1" x14ac:dyDescent="0.25">
      <c r="A29" s="63"/>
      <c r="B29" s="64"/>
      <c r="C29" s="64"/>
      <c r="D29" s="64"/>
      <c r="E29" s="64"/>
      <c r="F29" s="65"/>
    </row>
    <row r="30" spans="1:6" ht="15" customHeight="1" x14ac:dyDescent="0.25">
      <c r="A30" s="60">
        <v>6</v>
      </c>
      <c r="B30" s="70" t="s">
        <v>66</v>
      </c>
      <c r="C30" s="70" t="s">
        <v>40</v>
      </c>
      <c r="D30" s="72" t="s">
        <v>67</v>
      </c>
      <c r="E30" s="70" t="s">
        <v>68</v>
      </c>
      <c r="F30" s="71" t="s">
        <v>36</v>
      </c>
    </row>
    <row r="31" spans="1:6" ht="15" customHeight="1" x14ac:dyDescent="0.25">
      <c r="A31" s="60">
        <v>6</v>
      </c>
      <c r="B31" s="70" t="s">
        <v>33</v>
      </c>
      <c r="C31" s="70" t="s">
        <v>34</v>
      </c>
      <c r="D31" s="70" t="s">
        <v>159</v>
      </c>
      <c r="E31" s="70" t="s">
        <v>32</v>
      </c>
      <c r="F31" s="71" t="s">
        <v>36</v>
      </c>
    </row>
    <row r="32" spans="1:6" ht="15" customHeight="1" x14ac:dyDescent="0.25">
      <c r="A32" s="63">
        <v>6</v>
      </c>
      <c r="B32" s="70" t="s">
        <v>33</v>
      </c>
      <c r="C32" s="70" t="s">
        <v>40</v>
      </c>
      <c r="D32" s="70" t="s">
        <v>173</v>
      </c>
      <c r="E32" s="70" t="s">
        <v>160</v>
      </c>
      <c r="F32" s="71" t="s">
        <v>36</v>
      </c>
    </row>
    <row r="33" spans="1:6" ht="15" customHeight="1" x14ac:dyDescent="0.25">
      <c r="A33" s="60">
        <v>6</v>
      </c>
      <c r="B33" s="70" t="s">
        <v>33</v>
      </c>
      <c r="C33" s="70" t="s">
        <v>37</v>
      </c>
      <c r="D33" s="70" t="s">
        <v>174</v>
      </c>
      <c r="E33" s="72" t="s">
        <v>175</v>
      </c>
      <c r="F33" s="71" t="s">
        <v>36</v>
      </c>
    </row>
    <row r="34" spans="1:6" ht="18" customHeight="1" x14ac:dyDescent="0.25">
      <c r="A34" s="75"/>
      <c r="C34" s="76"/>
      <c r="D34" s="76"/>
      <c r="E34" s="77"/>
      <c r="F34" s="78"/>
    </row>
    <row r="35" spans="1:6" ht="30" customHeight="1" x14ac:dyDescent="0.25">
      <c r="A35" s="32" t="s">
        <v>73</v>
      </c>
      <c r="B35" s="32" t="s">
        <v>80</v>
      </c>
      <c r="C35" s="32" t="s">
        <v>81</v>
      </c>
      <c r="D35" s="32" t="s">
        <v>74</v>
      </c>
      <c r="E35" s="32" t="s">
        <v>77</v>
      </c>
      <c r="F35" s="35" t="s">
        <v>75</v>
      </c>
    </row>
    <row r="36" spans="1:6" ht="18" customHeight="1" x14ac:dyDescent="0.25">
      <c r="A36" s="60">
        <v>1</v>
      </c>
      <c r="B36" s="36">
        <v>0.37569444444444444</v>
      </c>
      <c r="C36" s="36">
        <v>0.63611111111111107</v>
      </c>
      <c r="D36" s="39">
        <f>C36-B36</f>
        <v>0.26041666666666663</v>
      </c>
      <c r="E36" s="40">
        <f t="shared" ref="E36:E41" si="0">ROUNDUP((C36-B36)*24,0)</f>
        <v>7</v>
      </c>
      <c r="F36" s="37" t="s">
        <v>13</v>
      </c>
    </row>
    <row r="37" spans="1:6" ht="18" customHeight="1" x14ac:dyDescent="0.25">
      <c r="A37" s="60">
        <v>2</v>
      </c>
      <c r="B37" s="36">
        <v>0.38611111111111113</v>
      </c>
      <c r="C37" s="36">
        <v>0.62083333333333335</v>
      </c>
      <c r="D37" s="39">
        <f t="shared" ref="D37:D41" si="1">C37-B37</f>
        <v>0.23472222222222222</v>
      </c>
      <c r="E37" s="40">
        <f t="shared" si="0"/>
        <v>6</v>
      </c>
      <c r="F37" s="37" t="s">
        <v>12</v>
      </c>
    </row>
    <row r="38" spans="1:6" ht="18" customHeight="1" x14ac:dyDescent="0.25">
      <c r="A38" s="60">
        <v>3</v>
      </c>
      <c r="B38" s="61">
        <v>0.42152777777777778</v>
      </c>
      <c r="C38" s="61">
        <v>0.59791666666666665</v>
      </c>
      <c r="D38" s="39">
        <f t="shared" si="1"/>
        <v>0.17638888888888887</v>
      </c>
      <c r="E38" s="40">
        <f t="shared" si="0"/>
        <v>5</v>
      </c>
      <c r="F38" s="62" t="s">
        <v>154</v>
      </c>
    </row>
    <row r="39" spans="1:6" ht="18" customHeight="1" x14ac:dyDescent="0.25">
      <c r="A39" s="60">
        <v>4</v>
      </c>
      <c r="B39" s="36">
        <v>0.36458333333333331</v>
      </c>
      <c r="C39" s="36">
        <v>0.65486111111111112</v>
      </c>
      <c r="D39" s="39">
        <f t="shared" si="1"/>
        <v>0.2902777777777778</v>
      </c>
      <c r="E39" s="40">
        <f t="shared" si="0"/>
        <v>7</v>
      </c>
      <c r="F39" s="73" t="s">
        <v>176</v>
      </c>
    </row>
    <row r="40" spans="1:6" ht="18" customHeight="1" x14ac:dyDescent="0.25">
      <c r="A40" s="60">
        <v>5</v>
      </c>
      <c r="B40" s="36">
        <v>0.4152777777777778</v>
      </c>
      <c r="C40" s="36">
        <v>0.58819444444444446</v>
      </c>
      <c r="D40" s="39">
        <f t="shared" si="1"/>
        <v>0.17291666666666666</v>
      </c>
      <c r="E40" s="40">
        <f t="shared" si="0"/>
        <v>5</v>
      </c>
      <c r="F40" s="37" t="s">
        <v>28</v>
      </c>
    </row>
    <row r="41" spans="1:6" ht="18" customHeight="1" x14ac:dyDescent="0.25">
      <c r="A41" s="60">
        <v>6</v>
      </c>
      <c r="B41" s="36">
        <v>0.35486111111111113</v>
      </c>
      <c r="C41" s="36">
        <v>0.6333333333333333</v>
      </c>
      <c r="D41" s="39">
        <f t="shared" si="1"/>
        <v>0.27847222222222218</v>
      </c>
      <c r="E41" s="40">
        <f t="shared" si="0"/>
        <v>7</v>
      </c>
      <c r="F41" s="37" t="s">
        <v>36</v>
      </c>
    </row>
    <row r="42" spans="1:6" ht="18" customHeight="1" x14ac:dyDescent="0.25">
      <c r="D42" s="22"/>
    </row>
    <row r="43" spans="1:6" ht="18" customHeight="1" x14ac:dyDescent="0.25">
      <c r="D43" s="22"/>
    </row>
    <row r="44" spans="1:6" ht="18" customHeight="1" x14ac:dyDescent="0.25">
      <c r="D44" s="22"/>
    </row>
    <row r="45" spans="1:6" ht="18" customHeight="1" x14ac:dyDescent="0.25">
      <c r="D45" s="22"/>
    </row>
    <row r="46" spans="1:6" ht="18" customHeight="1" x14ac:dyDescent="0.25">
      <c r="D46" s="22"/>
    </row>
    <row r="47" spans="1:6" ht="18" customHeight="1" x14ac:dyDescent="0.25">
      <c r="D47" s="22"/>
    </row>
    <row r="48" spans="1:6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</sheetData>
  <mergeCells count="5">
    <mergeCell ref="A3:B3"/>
    <mergeCell ref="A4:B4"/>
    <mergeCell ref="C3:E3"/>
    <mergeCell ref="A1:F1"/>
    <mergeCell ref="D4:F4"/>
  </mergeCells>
  <phoneticPr fontId="27" type="noConversion"/>
  <pageMargins left="0.7" right="0.7" top="0.75" bottom="0.75" header="0.3" footer="0.3"/>
  <pageSetup paperSize="9" orientation="portrait" r:id="rId1"/>
  <ignoredErrors>
    <ignoredError sqref="A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E40F-4F7A-4788-AA96-3952AA85040A}">
  <sheetPr>
    <tabColor theme="3" tint="0.79998168889431442"/>
    <pageSetUpPr fitToPage="1"/>
  </sheetPr>
  <dimension ref="A1:F62"/>
  <sheetViews>
    <sheetView showGridLines="0" zoomScale="130" zoomScaleNormal="130" workbookViewId="0">
      <selection activeCell="D15" sqref="D15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7" t="s">
        <v>82</v>
      </c>
      <c r="B1" s="87"/>
      <c r="C1" s="87"/>
      <c r="D1" s="87"/>
      <c r="E1" s="87"/>
      <c r="F1" s="87"/>
    </row>
    <row r="2" spans="1:6" ht="9.9499999999999993" customHeight="1" x14ac:dyDescent="0.25"/>
    <row r="3" spans="1:6" ht="30" customHeight="1" x14ac:dyDescent="0.25">
      <c r="A3" s="84" t="s">
        <v>20</v>
      </c>
      <c r="B3" s="84"/>
      <c r="C3" s="86" t="s">
        <v>167</v>
      </c>
      <c r="D3" s="86"/>
      <c r="E3" s="86"/>
      <c r="F3" s="38" t="s">
        <v>1</v>
      </c>
    </row>
    <row r="4" spans="1:6" ht="18" customHeight="1" x14ac:dyDescent="0.25">
      <c r="A4" s="85" t="s">
        <v>21</v>
      </c>
      <c r="B4" s="85"/>
      <c r="C4" s="83" t="s">
        <v>187</v>
      </c>
      <c r="D4" s="88" t="s">
        <v>185</v>
      </c>
      <c r="E4" s="88"/>
      <c r="F4" s="88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66" t="s">
        <v>73</v>
      </c>
      <c r="B6" s="34" t="s">
        <v>182</v>
      </c>
      <c r="C6" s="34" t="s">
        <v>183</v>
      </c>
      <c r="D6" s="34" t="s">
        <v>78</v>
      </c>
      <c r="E6" s="34" t="s">
        <v>79</v>
      </c>
      <c r="F6" s="31" t="s">
        <v>75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50</v>
      </c>
      <c r="C8" s="70" t="s">
        <v>51</v>
      </c>
      <c r="D8" s="72" t="s">
        <v>87</v>
      </c>
      <c r="E8" s="70" t="s">
        <v>49</v>
      </c>
      <c r="F8" s="71" t="s">
        <v>13</v>
      </c>
    </row>
    <row r="9" spans="1:6" ht="15" customHeight="1" x14ac:dyDescent="0.25">
      <c r="A9" s="60">
        <v>1</v>
      </c>
      <c r="B9" s="70" t="s">
        <v>53</v>
      </c>
      <c r="C9" s="70" t="s">
        <v>54</v>
      </c>
      <c r="D9" s="70" t="s">
        <v>55</v>
      </c>
      <c r="E9" s="72" t="s">
        <v>88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63">
        <v>2</v>
      </c>
      <c r="B11" s="70" t="s">
        <v>41</v>
      </c>
      <c r="C11" s="70" t="s">
        <v>44</v>
      </c>
      <c r="D11" s="72" t="s">
        <v>45</v>
      </c>
      <c r="E11" s="70" t="s">
        <v>49</v>
      </c>
      <c r="F11" s="71" t="s">
        <v>12</v>
      </c>
    </row>
    <row r="12" spans="1:6" ht="15" customHeight="1" x14ac:dyDescent="0.25">
      <c r="A12" s="60">
        <v>2</v>
      </c>
      <c r="B12" s="70" t="s">
        <v>41</v>
      </c>
      <c r="C12" s="70" t="s">
        <v>47</v>
      </c>
      <c r="D12" s="70" t="s">
        <v>48</v>
      </c>
      <c r="E12" s="70" t="s">
        <v>86</v>
      </c>
      <c r="F12" s="71" t="s">
        <v>12</v>
      </c>
    </row>
    <row r="13" spans="1:6" ht="15" customHeight="1" x14ac:dyDescent="0.25">
      <c r="A13" s="60">
        <v>2</v>
      </c>
      <c r="B13" s="70" t="s">
        <v>41</v>
      </c>
      <c r="C13" s="70" t="s">
        <v>40</v>
      </c>
      <c r="D13" s="70" t="s">
        <v>42</v>
      </c>
      <c r="E13" s="70" t="s">
        <v>39</v>
      </c>
      <c r="F13" s="71" t="s">
        <v>12</v>
      </c>
    </row>
    <row r="14" spans="1:6" ht="15" customHeight="1" x14ac:dyDescent="0.25">
      <c r="A14" s="60">
        <v>2</v>
      </c>
      <c r="B14" s="70" t="s">
        <v>57</v>
      </c>
      <c r="C14" s="70" t="s">
        <v>40</v>
      </c>
      <c r="D14" s="70" t="s">
        <v>60</v>
      </c>
      <c r="E14" s="72" t="s">
        <v>89</v>
      </c>
      <c r="F14" s="71" t="s">
        <v>12</v>
      </c>
    </row>
    <row r="15" spans="1:6" ht="15" customHeight="1" x14ac:dyDescent="0.25">
      <c r="A15" s="60">
        <v>2</v>
      </c>
      <c r="B15" s="70" t="s">
        <v>62</v>
      </c>
      <c r="C15" s="70" t="s">
        <v>63</v>
      </c>
      <c r="D15" s="70" t="s">
        <v>64</v>
      </c>
      <c r="E15" s="70" t="s">
        <v>65</v>
      </c>
      <c r="F15" s="71" t="s">
        <v>12</v>
      </c>
    </row>
    <row r="16" spans="1:6" ht="15" customHeight="1" x14ac:dyDescent="0.25">
      <c r="A16" s="60">
        <v>2</v>
      </c>
      <c r="B16" s="70" t="s">
        <v>29</v>
      </c>
      <c r="C16" s="70" t="s">
        <v>30</v>
      </c>
      <c r="D16" s="70" t="s">
        <v>31</v>
      </c>
      <c r="E16" s="70" t="s">
        <v>84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60">
        <v>3</v>
      </c>
      <c r="B18" s="70" t="s">
        <v>62</v>
      </c>
      <c r="C18" s="70" t="s">
        <v>37</v>
      </c>
      <c r="D18" s="72" t="s">
        <v>153</v>
      </c>
      <c r="E18" s="70" t="s">
        <v>177</v>
      </c>
      <c r="F18" s="71" t="s">
        <v>154</v>
      </c>
    </row>
    <row r="19" spans="1:6" ht="15" customHeight="1" x14ac:dyDescent="0.25">
      <c r="A19" s="60">
        <v>3</v>
      </c>
      <c r="B19" s="70" t="s">
        <v>62</v>
      </c>
      <c r="C19" s="70" t="s">
        <v>40</v>
      </c>
      <c r="D19" s="70" t="s">
        <v>155</v>
      </c>
      <c r="E19" s="70" t="s">
        <v>112</v>
      </c>
      <c r="F19" s="71" t="s">
        <v>154</v>
      </c>
    </row>
    <row r="20" spans="1:6" ht="15" customHeight="1" x14ac:dyDescent="0.25">
      <c r="A20" s="63">
        <v>3</v>
      </c>
      <c r="B20" s="70" t="s">
        <v>62</v>
      </c>
      <c r="C20" s="70" t="s">
        <v>157</v>
      </c>
      <c r="D20" s="70" t="s">
        <v>158</v>
      </c>
      <c r="E20" s="72" t="s">
        <v>156</v>
      </c>
      <c r="F20" s="71" t="s">
        <v>154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60">
        <v>4</v>
      </c>
      <c r="B22" s="70" t="s">
        <v>66</v>
      </c>
      <c r="C22" s="70" t="s">
        <v>44</v>
      </c>
      <c r="D22" s="72" t="s">
        <v>168</v>
      </c>
      <c r="E22" s="70" t="s">
        <v>178</v>
      </c>
      <c r="F22" s="71" t="s">
        <v>176</v>
      </c>
    </row>
    <row r="23" spans="1:6" ht="15" customHeight="1" x14ac:dyDescent="0.25">
      <c r="A23" s="60">
        <v>4</v>
      </c>
      <c r="B23" s="70" t="s">
        <v>170</v>
      </c>
      <c r="C23" s="70" t="s">
        <v>171</v>
      </c>
      <c r="D23" s="70" t="s">
        <v>162</v>
      </c>
      <c r="E23" s="72" t="s">
        <v>56</v>
      </c>
      <c r="F23" s="71" t="s">
        <v>176</v>
      </c>
    </row>
    <row r="24" spans="1:6" ht="15" customHeight="1" x14ac:dyDescent="0.25">
      <c r="A24" s="63">
        <v>4</v>
      </c>
      <c r="B24" s="70" t="s">
        <v>57</v>
      </c>
      <c r="C24" s="70" t="s">
        <v>37</v>
      </c>
      <c r="D24" s="70" t="s">
        <v>58</v>
      </c>
      <c r="E24" s="70" t="s">
        <v>85</v>
      </c>
      <c r="F24" s="71" t="s">
        <v>176</v>
      </c>
    </row>
    <row r="25" spans="1:6" ht="15" customHeight="1" x14ac:dyDescent="0.25">
      <c r="A25" s="60">
        <v>4</v>
      </c>
      <c r="B25" s="70" t="s">
        <v>90</v>
      </c>
      <c r="C25" s="70" t="s">
        <v>34</v>
      </c>
      <c r="D25" s="70" t="s">
        <v>93</v>
      </c>
      <c r="E25" s="70" t="s">
        <v>164</v>
      </c>
      <c r="F25" s="71" t="s">
        <v>176</v>
      </c>
    </row>
    <row r="26" spans="1:6" ht="15" customHeight="1" x14ac:dyDescent="0.25">
      <c r="A26" s="63"/>
      <c r="B26" s="64"/>
      <c r="C26" s="64"/>
      <c r="D26" s="64"/>
      <c r="E26" s="64"/>
      <c r="F26" s="65"/>
    </row>
    <row r="27" spans="1:6" ht="15" customHeight="1" x14ac:dyDescent="0.25">
      <c r="A27" s="60">
        <v>5</v>
      </c>
      <c r="B27" s="70" t="s">
        <v>24</v>
      </c>
      <c r="C27" s="70" t="s">
        <v>25</v>
      </c>
      <c r="D27" s="72" t="s">
        <v>83</v>
      </c>
      <c r="E27" s="70" t="s">
        <v>72</v>
      </c>
      <c r="F27" s="71" t="s">
        <v>28</v>
      </c>
    </row>
    <row r="28" spans="1:6" ht="15" customHeight="1" x14ac:dyDescent="0.25">
      <c r="A28" s="60">
        <v>5</v>
      </c>
      <c r="B28" s="70" t="s">
        <v>69</v>
      </c>
      <c r="C28" s="70" t="s">
        <v>70</v>
      </c>
      <c r="D28" s="70" t="s">
        <v>91</v>
      </c>
      <c r="E28" s="72" t="s">
        <v>72</v>
      </c>
      <c r="F28" s="71" t="s">
        <v>28</v>
      </c>
    </row>
    <row r="29" spans="1:6" ht="15" customHeight="1" x14ac:dyDescent="0.25">
      <c r="A29" s="63"/>
      <c r="B29" s="64"/>
      <c r="C29" s="64"/>
      <c r="D29" s="64"/>
      <c r="E29" s="64"/>
      <c r="F29" s="65"/>
    </row>
    <row r="30" spans="1:6" ht="15" customHeight="1" x14ac:dyDescent="0.25">
      <c r="A30" s="60">
        <v>6</v>
      </c>
      <c r="B30" s="70" t="s">
        <v>66</v>
      </c>
      <c r="C30" s="70" t="s">
        <v>40</v>
      </c>
      <c r="D30" s="72" t="s">
        <v>67</v>
      </c>
      <c r="E30" s="72" t="s">
        <v>68</v>
      </c>
      <c r="F30" s="71" t="s">
        <v>36</v>
      </c>
    </row>
    <row r="31" spans="1:6" ht="15" customHeight="1" x14ac:dyDescent="0.25">
      <c r="A31" s="63">
        <v>6</v>
      </c>
      <c r="B31" s="70" t="s">
        <v>33</v>
      </c>
      <c r="C31" s="70" t="s">
        <v>34</v>
      </c>
      <c r="D31" s="70" t="s">
        <v>161</v>
      </c>
      <c r="E31" s="70" t="s">
        <v>31</v>
      </c>
      <c r="F31" s="71" t="s">
        <v>36</v>
      </c>
    </row>
    <row r="32" spans="1:6" ht="15" customHeight="1" x14ac:dyDescent="0.25">
      <c r="A32" s="60">
        <v>6</v>
      </c>
      <c r="B32" s="70" t="s">
        <v>33</v>
      </c>
      <c r="C32" s="70" t="s">
        <v>40</v>
      </c>
      <c r="D32" s="70" t="s">
        <v>173</v>
      </c>
      <c r="E32" s="70" t="s">
        <v>165</v>
      </c>
      <c r="F32" s="71" t="s">
        <v>36</v>
      </c>
    </row>
    <row r="33" spans="1:6" ht="15" customHeight="1" x14ac:dyDescent="0.25">
      <c r="A33" s="60">
        <v>6</v>
      </c>
      <c r="B33" s="70" t="s">
        <v>33</v>
      </c>
      <c r="C33" s="70" t="s">
        <v>37</v>
      </c>
      <c r="D33" s="70" t="s">
        <v>179</v>
      </c>
      <c r="E33" s="70" t="s">
        <v>180</v>
      </c>
      <c r="F33" s="71" t="s">
        <v>36</v>
      </c>
    </row>
    <row r="34" spans="1:6" ht="18" customHeight="1" x14ac:dyDescent="0.25">
      <c r="D34" s="22"/>
    </row>
    <row r="35" spans="1:6" ht="30" customHeight="1" x14ac:dyDescent="0.25">
      <c r="A35" s="32" t="s">
        <v>73</v>
      </c>
      <c r="B35" s="32" t="s">
        <v>80</v>
      </c>
      <c r="C35" s="32" t="s">
        <v>81</v>
      </c>
      <c r="D35" s="32" t="s">
        <v>74</v>
      </c>
      <c r="E35" s="32" t="s">
        <v>77</v>
      </c>
      <c r="F35" s="35" t="s">
        <v>75</v>
      </c>
    </row>
    <row r="36" spans="1:6" ht="18" customHeight="1" x14ac:dyDescent="0.25">
      <c r="A36" s="60">
        <v>1</v>
      </c>
      <c r="B36" s="36">
        <v>0.37291666666666662</v>
      </c>
      <c r="C36" s="36">
        <v>0.59444444444444444</v>
      </c>
      <c r="D36" s="39">
        <f>C36-B36</f>
        <v>0.22152777777777782</v>
      </c>
      <c r="E36" s="40">
        <f t="shared" ref="E36:E41" si="0">ROUNDUP((C36-B36)*24,0)</f>
        <v>6</v>
      </c>
      <c r="F36" s="37" t="s">
        <v>13</v>
      </c>
    </row>
    <row r="37" spans="1:6" ht="18" customHeight="1" x14ac:dyDescent="0.25">
      <c r="A37" s="60">
        <v>2</v>
      </c>
      <c r="B37" s="36">
        <v>0.38611111111111113</v>
      </c>
      <c r="C37" s="36">
        <v>0.6</v>
      </c>
      <c r="D37" s="39">
        <f t="shared" ref="D37:D41" si="1">C37-B37</f>
        <v>0.21388888888888885</v>
      </c>
      <c r="E37" s="40">
        <f t="shared" si="0"/>
        <v>6</v>
      </c>
      <c r="F37" s="37" t="s">
        <v>12</v>
      </c>
    </row>
    <row r="38" spans="1:6" ht="18" customHeight="1" x14ac:dyDescent="0.25">
      <c r="A38" s="60">
        <v>3</v>
      </c>
      <c r="B38" s="61">
        <v>0.42152777777777778</v>
      </c>
      <c r="C38" s="61">
        <v>0.59305555555555556</v>
      </c>
      <c r="D38" s="39">
        <f t="shared" si="1"/>
        <v>0.17152777777777778</v>
      </c>
      <c r="E38" s="40">
        <f t="shared" si="0"/>
        <v>5</v>
      </c>
      <c r="F38" s="62" t="s">
        <v>154</v>
      </c>
    </row>
    <row r="39" spans="1:6" ht="18" customHeight="1" x14ac:dyDescent="0.25">
      <c r="A39" s="60">
        <v>4</v>
      </c>
      <c r="B39" s="36">
        <v>0.36458333333333331</v>
      </c>
      <c r="C39" s="36">
        <v>0.63611111111111118</v>
      </c>
      <c r="D39" s="39">
        <f t="shared" si="1"/>
        <v>0.27152777777777787</v>
      </c>
      <c r="E39" s="79">
        <f t="shared" si="0"/>
        <v>7</v>
      </c>
      <c r="F39" s="73" t="s">
        <v>176</v>
      </c>
    </row>
    <row r="40" spans="1:6" ht="18" customHeight="1" x14ac:dyDescent="0.25">
      <c r="A40" s="60">
        <v>5</v>
      </c>
      <c r="B40" s="36">
        <v>0.39930555555555558</v>
      </c>
      <c r="C40" s="36">
        <v>0.58819444444444446</v>
      </c>
      <c r="D40" s="39">
        <f t="shared" si="1"/>
        <v>0.18888888888888888</v>
      </c>
      <c r="E40" s="40">
        <f t="shared" si="0"/>
        <v>5</v>
      </c>
      <c r="F40" s="37" t="s">
        <v>28</v>
      </c>
    </row>
    <row r="41" spans="1:6" ht="18" customHeight="1" x14ac:dyDescent="0.25">
      <c r="A41" s="60">
        <v>6</v>
      </c>
      <c r="B41" s="36">
        <v>0.35486111111111113</v>
      </c>
      <c r="C41" s="36">
        <v>0.5805555555555556</v>
      </c>
      <c r="D41" s="39">
        <f t="shared" si="1"/>
        <v>0.22569444444444448</v>
      </c>
      <c r="E41" s="40">
        <f t="shared" si="0"/>
        <v>6</v>
      </c>
      <c r="F41" s="37" t="s">
        <v>36</v>
      </c>
    </row>
    <row r="42" spans="1:6" ht="18" customHeight="1" x14ac:dyDescent="0.25">
      <c r="D42" s="22"/>
    </row>
    <row r="43" spans="1:6" ht="18" customHeight="1" x14ac:dyDescent="0.25">
      <c r="D43" s="22"/>
    </row>
    <row r="44" spans="1:6" ht="18" customHeight="1" x14ac:dyDescent="0.25">
      <c r="D44" s="22"/>
    </row>
    <row r="45" spans="1:6" ht="18" customHeight="1" x14ac:dyDescent="0.25">
      <c r="D45" s="22"/>
    </row>
    <row r="46" spans="1:6" ht="18" customHeight="1" x14ac:dyDescent="0.25">
      <c r="D46" s="22"/>
    </row>
    <row r="47" spans="1:6" ht="18" customHeight="1" x14ac:dyDescent="0.25">
      <c r="D47" s="22"/>
    </row>
    <row r="48" spans="1:6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</sheetData>
  <mergeCells count="5">
    <mergeCell ref="A1:F1"/>
    <mergeCell ref="A3:B3"/>
    <mergeCell ref="C3:E3"/>
    <mergeCell ref="A4:B4"/>
    <mergeCell ref="D4:F4"/>
  </mergeCells>
  <pageMargins left="0.7" right="0.7" top="0.75" bottom="0.75" header="0.3" footer="0.3"/>
  <pageSetup paperSize="9" orientation="portrait" r:id="rId1"/>
  <ignoredErrors>
    <ignoredError sqref="A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7D34-B1CE-46E9-9F27-931A1FAF6244}">
  <sheetPr>
    <tabColor theme="0" tint="-0.249977111117893"/>
    <pageSetUpPr fitToPage="1"/>
  </sheetPr>
  <dimension ref="A1:F65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7" t="s">
        <v>82</v>
      </c>
      <c r="B1" s="87"/>
      <c r="C1" s="87"/>
      <c r="D1" s="87"/>
      <c r="E1" s="87"/>
      <c r="F1" s="87"/>
    </row>
    <row r="2" spans="1:6" ht="9.9499999999999993" customHeight="1" x14ac:dyDescent="0.25"/>
    <row r="3" spans="1:6" ht="30" customHeight="1" x14ac:dyDescent="0.25">
      <c r="A3" s="84" t="s">
        <v>20</v>
      </c>
      <c r="B3" s="84"/>
      <c r="C3" s="86" t="s">
        <v>146</v>
      </c>
      <c r="D3" s="86"/>
      <c r="E3" s="86"/>
      <c r="F3" s="38" t="s">
        <v>92</v>
      </c>
    </row>
    <row r="4" spans="1:6" ht="18" customHeight="1" x14ac:dyDescent="0.25">
      <c r="A4" s="98" t="s">
        <v>21</v>
      </c>
      <c r="B4" s="98"/>
      <c r="C4" s="99" t="s">
        <v>147</v>
      </c>
      <c r="D4" s="99"/>
      <c r="E4" s="99"/>
      <c r="F4" s="99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2" t="s">
        <v>73</v>
      </c>
      <c r="B6" s="32" t="s">
        <v>80</v>
      </c>
      <c r="C6" s="32" t="s">
        <v>81</v>
      </c>
      <c r="D6" s="32" t="s">
        <v>74</v>
      </c>
      <c r="E6" s="32" t="s">
        <v>77</v>
      </c>
      <c r="F6" s="35" t="s">
        <v>75</v>
      </c>
    </row>
    <row r="7" spans="1:6" ht="15" customHeight="1" x14ac:dyDescent="0.25">
      <c r="A7" s="30">
        <v>1</v>
      </c>
      <c r="B7" s="36">
        <v>0.37291666666666667</v>
      </c>
      <c r="C7" s="36">
        <v>0.65972222222222221</v>
      </c>
      <c r="D7" s="39">
        <f>C7-B7</f>
        <v>0.28680555555555554</v>
      </c>
      <c r="E7" s="40">
        <f>ROUNDUP((C7-B7)*24,0)</f>
        <v>7</v>
      </c>
      <c r="F7" s="37" t="s">
        <v>13</v>
      </c>
    </row>
    <row r="8" spans="1:6" ht="15" customHeight="1" x14ac:dyDescent="0.25">
      <c r="A8" s="30">
        <v>2</v>
      </c>
      <c r="B8" s="36">
        <v>0.44791666666666669</v>
      </c>
      <c r="C8" s="36">
        <v>0.66249999999999998</v>
      </c>
      <c r="D8" s="39">
        <f t="shared" ref="D8:D10" si="0">C8-B8</f>
        <v>0.21458333333333329</v>
      </c>
      <c r="E8" s="40">
        <f>ROUNDUP((C8-B8)*24,0)</f>
        <v>6</v>
      </c>
      <c r="F8" s="37" t="s">
        <v>12</v>
      </c>
    </row>
    <row r="9" spans="1:6" ht="15" customHeight="1" x14ac:dyDescent="0.25">
      <c r="A9" s="30">
        <v>3</v>
      </c>
      <c r="B9" s="36">
        <v>0.39305555555555555</v>
      </c>
      <c r="C9" s="36">
        <v>0.67083333333333339</v>
      </c>
      <c r="D9" s="39">
        <f t="shared" si="0"/>
        <v>0.27777777777777785</v>
      </c>
      <c r="E9" s="40">
        <f>ROUNDUP((C9-B9)*24,0)</f>
        <v>7</v>
      </c>
      <c r="F9" s="56" t="s">
        <v>145</v>
      </c>
    </row>
    <row r="10" spans="1:6" ht="15" customHeight="1" x14ac:dyDescent="0.25">
      <c r="A10" s="30">
        <v>4</v>
      </c>
      <c r="B10" s="36">
        <v>0.37708333333333333</v>
      </c>
      <c r="C10" s="36">
        <v>0.66736111111111107</v>
      </c>
      <c r="D10" s="39">
        <f t="shared" si="0"/>
        <v>0.29027777777777775</v>
      </c>
      <c r="E10" s="40">
        <f>ROUNDUP((C10-B10)*24,0)</f>
        <v>7</v>
      </c>
      <c r="F10" s="48" t="s">
        <v>123</v>
      </c>
    </row>
    <row r="11" spans="1:6" ht="18" customHeight="1" x14ac:dyDescent="0.25">
      <c r="B11" s="24"/>
      <c r="C11" s="24"/>
      <c r="D11" s="23"/>
      <c r="E11" s="24"/>
      <c r="F11" s="24"/>
    </row>
    <row r="12" spans="1:6" ht="30" customHeight="1" x14ac:dyDescent="0.25">
      <c r="A12" s="34" t="s">
        <v>73</v>
      </c>
      <c r="B12" s="34" t="s">
        <v>23</v>
      </c>
      <c r="C12" s="34" t="s">
        <v>76</v>
      </c>
      <c r="D12" s="34" t="s">
        <v>78</v>
      </c>
      <c r="E12" s="34" t="s">
        <v>79</v>
      </c>
      <c r="F12" s="31" t="s">
        <v>75</v>
      </c>
    </row>
    <row r="13" spans="1:6" ht="15" customHeight="1" x14ac:dyDescent="0.25">
      <c r="A13" s="41"/>
      <c r="B13" s="42"/>
      <c r="C13" s="42"/>
      <c r="D13" s="41"/>
      <c r="E13" s="42"/>
      <c r="F13" s="43"/>
    </row>
    <row r="14" spans="1:6" ht="15" customHeight="1" x14ac:dyDescent="0.25">
      <c r="A14" s="33">
        <v>1</v>
      </c>
      <c r="B14" s="57" t="s">
        <v>50</v>
      </c>
      <c r="C14" s="57" t="s">
        <v>51</v>
      </c>
      <c r="D14" s="59" t="s">
        <v>87</v>
      </c>
      <c r="E14" s="57" t="s">
        <v>95</v>
      </c>
      <c r="F14" s="58" t="s">
        <v>13</v>
      </c>
    </row>
    <row r="15" spans="1:6" ht="15" customHeight="1" x14ac:dyDescent="0.25">
      <c r="A15" s="30">
        <v>1</v>
      </c>
      <c r="B15" s="57" t="s">
        <v>53</v>
      </c>
      <c r="C15" s="57" t="s">
        <v>54</v>
      </c>
      <c r="D15" s="57" t="s">
        <v>96</v>
      </c>
      <c r="E15" s="59" t="s">
        <v>97</v>
      </c>
      <c r="F15" s="58" t="s">
        <v>13</v>
      </c>
    </row>
    <row r="16" spans="1:6" ht="15" customHeight="1" x14ac:dyDescent="0.25">
      <c r="A16" s="53"/>
      <c r="B16" s="54"/>
      <c r="C16" s="54"/>
      <c r="D16" s="54"/>
      <c r="E16" s="54"/>
      <c r="F16" s="55"/>
    </row>
    <row r="17" spans="1:6" ht="15" customHeight="1" x14ac:dyDescent="0.25">
      <c r="A17" s="41">
        <v>2</v>
      </c>
      <c r="B17" s="57" t="s">
        <v>57</v>
      </c>
      <c r="C17" s="57" t="s">
        <v>34</v>
      </c>
      <c r="D17" s="59" t="s">
        <v>38</v>
      </c>
      <c r="E17" s="57" t="s">
        <v>126</v>
      </c>
      <c r="F17" s="58" t="s">
        <v>12</v>
      </c>
    </row>
    <row r="18" spans="1:6" ht="15" customHeight="1" x14ac:dyDescent="0.25">
      <c r="A18" s="41">
        <v>2</v>
      </c>
      <c r="B18" s="57" t="s">
        <v>41</v>
      </c>
      <c r="C18" s="57" t="s">
        <v>40</v>
      </c>
      <c r="D18" s="57" t="s">
        <v>137</v>
      </c>
      <c r="E18" s="57" t="s">
        <v>138</v>
      </c>
      <c r="F18" s="58" t="s">
        <v>12</v>
      </c>
    </row>
    <row r="19" spans="1:6" ht="15" customHeight="1" x14ac:dyDescent="0.25">
      <c r="A19" s="41">
        <v>2</v>
      </c>
      <c r="B19" s="57" t="s">
        <v>127</v>
      </c>
      <c r="C19" s="57" t="s">
        <v>34</v>
      </c>
      <c r="D19" s="57" t="s">
        <v>128</v>
      </c>
      <c r="E19" s="59" t="s">
        <v>129</v>
      </c>
      <c r="F19" s="58" t="s">
        <v>12</v>
      </c>
    </row>
    <row r="20" spans="1:6" ht="15" customHeight="1" x14ac:dyDescent="0.25">
      <c r="A20" s="41">
        <v>2</v>
      </c>
      <c r="B20" s="57" t="s">
        <v>29</v>
      </c>
      <c r="C20" s="57" t="s">
        <v>34</v>
      </c>
      <c r="D20" s="57" t="s">
        <v>130</v>
      </c>
      <c r="E20" s="57" t="s">
        <v>124</v>
      </c>
      <c r="F20" s="58" t="s">
        <v>12</v>
      </c>
    </row>
    <row r="21" spans="1:6" ht="15" customHeight="1" x14ac:dyDescent="0.25">
      <c r="A21" s="53"/>
      <c r="B21" s="54"/>
      <c r="C21" s="54"/>
      <c r="D21" s="54"/>
      <c r="E21" s="54"/>
      <c r="F21" s="55"/>
    </row>
    <row r="22" spans="1:6" ht="15" customHeight="1" x14ac:dyDescent="0.25">
      <c r="A22" s="30">
        <v>3</v>
      </c>
      <c r="B22" s="57" t="s">
        <v>139</v>
      </c>
      <c r="C22" s="57" t="s">
        <v>34</v>
      </c>
      <c r="D22" s="59" t="s">
        <v>140</v>
      </c>
      <c r="E22" s="57" t="s">
        <v>101</v>
      </c>
      <c r="F22" s="58" t="s">
        <v>149</v>
      </c>
    </row>
    <row r="23" spans="1:6" ht="15" customHeight="1" x14ac:dyDescent="0.25">
      <c r="A23" s="30">
        <v>3</v>
      </c>
      <c r="B23" s="57" t="s">
        <v>125</v>
      </c>
      <c r="C23" s="57" t="s">
        <v>34</v>
      </c>
      <c r="D23" s="57" t="s">
        <v>141</v>
      </c>
      <c r="E23" s="57" t="s">
        <v>142</v>
      </c>
      <c r="F23" s="58" t="s">
        <v>149</v>
      </c>
    </row>
    <row r="24" spans="1:6" ht="15" customHeight="1" x14ac:dyDescent="0.25">
      <c r="A24" s="53">
        <v>3</v>
      </c>
      <c r="B24" s="57" t="s">
        <v>33</v>
      </c>
      <c r="C24" s="57" t="s">
        <v>51</v>
      </c>
      <c r="D24" s="57" t="s">
        <v>143</v>
      </c>
      <c r="E24" s="59" t="s">
        <v>144</v>
      </c>
      <c r="F24" s="58" t="s">
        <v>149</v>
      </c>
    </row>
    <row r="25" spans="1:6" ht="15" customHeight="1" x14ac:dyDescent="0.25">
      <c r="A25" s="53"/>
      <c r="B25" s="54"/>
      <c r="C25" s="54"/>
      <c r="D25" s="54"/>
      <c r="E25" s="54"/>
      <c r="F25" s="55"/>
    </row>
    <row r="26" spans="1:6" ht="15" customHeight="1" x14ac:dyDescent="0.25">
      <c r="A26" s="41">
        <v>4</v>
      </c>
      <c r="B26" s="57" t="s">
        <v>109</v>
      </c>
      <c r="C26" s="57" t="s">
        <v>110</v>
      </c>
      <c r="D26" s="59" t="s">
        <v>111</v>
      </c>
      <c r="E26" s="57" t="s">
        <v>112</v>
      </c>
      <c r="F26" s="58" t="s">
        <v>123</v>
      </c>
    </row>
    <row r="27" spans="1:6" ht="15" customHeight="1" x14ac:dyDescent="0.25">
      <c r="A27" s="30">
        <v>4</v>
      </c>
      <c r="B27" s="57" t="s">
        <v>120</v>
      </c>
      <c r="C27" s="57" t="s">
        <v>121</v>
      </c>
      <c r="D27" s="57" t="s">
        <v>122</v>
      </c>
      <c r="E27" s="59" t="s">
        <v>150</v>
      </c>
      <c r="F27" s="58" t="s">
        <v>123</v>
      </c>
    </row>
    <row r="28" spans="1:6" ht="15" customHeight="1" x14ac:dyDescent="0.25">
      <c r="A28" s="41">
        <v>4</v>
      </c>
      <c r="B28" s="57" t="s">
        <v>109</v>
      </c>
      <c r="C28" s="57" t="s">
        <v>115</v>
      </c>
      <c r="D28" s="57" t="s">
        <v>116</v>
      </c>
      <c r="E28" s="57" t="s">
        <v>117</v>
      </c>
      <c r="F28" s="58" t="s">
        <v>123</v>
      </c>
    </row>
    <row r="29" spans="1:6" ht="15" customHeight="1" x14ac:dyDescent="0.25">
      <c r="A29" s="41">
        <v>4</v>
      </c>
      <c r="B29" s="57" t="s">
        <v>113</v>
      </c>
      <c r="C29" s="57" t="s">
        <v>54</v>
      </c>
      <c r="D29" s="57" t="s">
        <v>131</v>
      </c>
      <c r="E29" s="57" t="s">
        <v>132</v>
      </c>
      <c r="F29" s="58" t="s">
        <v>123</v>
      </c>
    </row>
    <row r="30" spans="1:6" ht="15" customHeight="1" x14ac:dyDescent="0.25">
      <c r="A30" s="47"/>
      <c r="B30" s="46"/>
      <c r="C30" s="46"/>
      <c r="D30" s="46"/>
      <c r="E30" s="47"/>
      <c r="F30" s="44"/>
    </row>
    <row r="31" spans="1:6" ht="15" customHeight="1" x14ac:dyDescent="0.25">
      <c r="D31" s="22"/>
    </row>
    <row r="32" spans="1:6" ht="15" customHeight="1" x14ac:dyDescent="0.25">
      <c r="D32" s="22"/>
    </row>
    <row r="33" spans="4:4" ht="15" customHeight="1" x14ac:dyDescent="0.25">
      <c r="D33" s="22"/>
    </row>
    <row r="34" spans="4:4" ht="15" customHeight="1" x14ac:dyDescent="0.25">
      <c r="D34" s="22"/>
    </row>
    <row r="35" spans="4:4" ht="18" customHeight="1" x14ac:dyDescent="0.25">
      <c r="D35" s="22"/>
    </row>
    <row r="36" spans="4:4" ht="18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30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  <row r="65" spans="4:4" ht="18" customHeight="1" x14ac:dyDescent="0.25">
      <c r="D65" s="22"/>
    </row>
  </sheetData>
  <mergeCells count="5">
    <mergeCell ref="A1:F1"/>
    <mergeCell ref="A3:B3"/>
    <mergeCell ref="C3:E3"/>
    <mergeCell ref="A4:B4"/>
    <mergeCell ref="C4:F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926C-FE3C-4E8A-9644-791E4972399F}">
  <sheetPr>
    <tabColor theme="0" tint="-0.249977111117893"/>
    <pageSetUpPr fitToPage="1"/>
  </sheetPr>
  <dimension ref="A1:F65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7" t="s">
        <v>82</v>
      </c>
      <c r="B1" s="87"/>
      <c r="C1" s="87"/>
      <c r="D1" s="87"/>
      <c r="E1" s="87"/>
      <c r="F1" s="87"/>
    </row>
    <row r="2" spans="1:6" ht="9.9499999999999993" customHeight="1" x14ac:dyDescent="0.25"/>
    <row r="3" spans="1:6" ht="30" customHeight="1" x14ac:dyDescent="0.25">
      <c r="A3" s="84" t="s">
        <v>20</v>
      </c>
      <c r="B3" s="84"/>
      <c r="C3" s="86" t="s">
        <v>146</v>
      </c>
      <c r="D3" s="86"/>
      <c r="E3" s="86"/>
      <c r="F3" s="38" t="s">
        <v>133</v>
      </c>
    </row>
    <row r="4" spans="1:6" ht="18" customHeight="1" x14ac:dyDescent="0.25">
      <c r="A4" s="98" t="s">
        <v>21</v>
      </c>
      <c r="B4" s="98"/>
      <c r="C4" s="99" t="s">
        <v>148</v>
      </c>
      <c r="D4" s="99"/>
      <c r="E4" s="99"/>
      <c r="F4" s="99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2" t="s">
        <v>73</v>
      </c>
      <c r="B6" s="32" t="s">
        <v>80</v>
      </c>
      <c r="C6" s="32" t="s">
        <v>81</v>
      </c>
      <c r="D6" s="32" t="s">
        <v>74</v>
      </c>
      <c r="E6" s="32" t="s">
        <v>77</v>
      </c>
      <c r="F6" s="35" t="s">
        <v>75</v>
      </c>
    </row>
    <row r="7" spans="1:6" ht="15" customHeight="1" x14ac:dyDescent="0.25">
      <c r="A7" s="30">
        <v>1</v>
      </c>
      <c r="B7" s="36">
        <v>0.37291666666666667</v>
      </c>
      <c r="C7" s="36">
        <v>0.65972222222222221</v>
      </c>
      <c r="D7" s="39">
        <f>C7-B7</f>
        <v>0.28680555555555554</v>
      </c>
      <c r="E7" s="40">
        <f>ROUNDUP((C7-B7)*24,0)</f>
        <v>7</v>
      </c>
      <c r="F7" s="37" t="s">
        <v>13</v>
      </c>
    </row>
    <row r="8" spans="1:6" ht="15" customHeight="1" x14ac:dyDescent="0.25">
      <c r="A8" s="30">
        <v>2</v>
      </c>
      <c r="B8" s="36">
        <v>0.44791666666666669</v>
      </c>
      <c r="C8" s="36">
        <v>0.66249999999999998</v>
      </c>
      <c r="D8" s="39">
        <f t="shared" ref="D8:D10" si="0">C8-B8</f>
        <v>0.21458333333333329</v>
      </c>
      <c r="E8" s="40">
        <f>ROUNDUP((C8-B8)*24,0)</f>
        <v>6</v>
      </c>
      <c r="F8" s="37" t="s">
        <v>12</v>
      </c>
    </row>
    <row r="9" spans="1:6" ht="15" customHeight="1" x14ac:dyDescent="0.25">
      <c r="A9" s="30">
        <v>3</v>
      </c>
      <c r="B9" s="36">
        <v>0.39305555555555555</v>
      </c>
      <c r="C9" s="36">
        <v>0.67083333333333339</v>
      </c>
      <c r="D9" s="39">
        <f t="shared" si="0"/>
        <v>0.27777777777777785</v>
      </c>
      <c r="E9" s="40">
        <f>ROUNDUP((C9-B9)*24,0)</f>
        <v>7</v>
      </c>
      <c r="F9" s="56" t="s">
        <v>145</v>
      </c>
    </row>
    <row r="10" spans="1:6" ht="15" customHeight="1" x14ac:dyDescent="0.25">
      <c r="A10" s="30">
        <v>4</v>
      </c>
      <c r="B10" s="36">
        <v>0.37708333333333333</v>
      </c>
      <c r="C10" s="36">
        <v>0.66736111111111107</v>
      </c>
      <c r="D10" s="39">
        <f t="shared" si="0"/>
        <v>0.29027777777777775</v>
      </c>
      <c r="E10" s="40">
        <f>ROUNDUP((C10-B10)*24,0)</f>
        <v>7</v>
      </c>
      <c r="F10" s="48" t="s">
        <v>123</v>
      </c>
    </row>
    <row r="11" spans="1:6" ht="18" customHeight="1" x14ac:dyDescent="0.25">
      <c r="B11" s="24"/>
      <c r="C11" s="24"/>
      <c r="D11" s="23"/>
      <c r="E11" s="24"/>
      <c r="F11" s="24"/>
    </row>
    <row r="12" spans="1:6" ht="30" customHeight="1" x14ac:dyDescent="0.25">
      <c r="A12" s="34" t="s">
        <v>73</v>
      </c>
      <c r="B12" s="34" t="s">
        <v>23</v>
      </c>
      <c r="C12" s="34" t="s">
        <v>76</v>
      </c>
      <c r="D12" s="34" t="s">
        <v>78</v>
      </c>
      <c r="E12" s="34" t="s">
        <v>79</v>
      </c>
      <c r="F12" s="31" t="s">
        <v>75</v>
      </c>
    </row>
    <row r="13" spans="1:6" ht="15" customHeight="1" x14ac:dyDescent="0.25">
      <c r="A13" s="41"/>
      <c r="B13" s="42"/>
      <c r="C13" s="42"/>
      <c r="D13" s="41"/>
      <c r="E13" s="42"/>
      <c r="F13" s="43"/>
    </row>
    <row r="14" spans="1:6" ht="15" customHeight="1" x14ac:dyDescent="0.25">
      <c r="A14" s="33">
        <v>1</v>
      </c>
      <c r="B14" s="57" t="s">
        <v>50</v>
      </c>
      <c r="C14" s="57" t="s">
        <v>51</v>
      </c>
      <c r="D14" s="59" t="s">
        <v>87</v>
      </c>
      <c r="E14" s="57" t="s">
        <v>95</v>
      </c>
      <c r="F14" s="58" t="s">
        <v>13</v>
      </c>
    </row>
    <row r="15" spans="1:6" ht="15" customHeight="1" x14ac:dyDescent="0.25">
      <c r="A15" s="30">
        <v>1</v>
      </c>
      <c r="B15" s="57" t="s">
        <v>53</v>
      </c>
      <c r="C15" s="57" t="s">
        <v>54</v>
      </c>
      <c r="D15" s="57" t="s">
        <v>96</v>
      </c>
      <c r="E15" s="59" t="s">
        <v>97</v>
      </c>
      <c r="F15" s="58" t="s">
        <v>13</v>
      </c>
    </row>
    <row r="16" spans="1:6" ht="15" customHeight="1" x14ac:dyDescent="0.25">
      <c r="A16" s="53"/>
      <c r="B16" s="54"/>
      <c r="C16" s="54"/>
      <c r="D16" s="54"/>
      <c r="E16" s="54"/>
      <c r="F16" s="55"/>
    </row>
    <row r="17" spans="1:6" ht="15" customHeight="1" x14ac:dyDescent="0.25">
      <c r="A17" s="41">
        <v>2</v>
      </c>
      <c r="B17" s="57" t="s">
        <v>57</v>
      </c>
      <c r="C17" s="57" t="s">
        <v>34</v>
      </c>
      <c r="D17" s="59" t="s">
        <v>38</v>
      </c>
      <c r="E17" s="57" t="s">
        <v>126</v>
      </c>
      <c r="F17" s="58" t="s">
        <v>12</v>
      </c>
    </row>
    <row r="18" spans="1:6" ht="15" customHeight="1" x14ac:dyDescent="0.25">
      <c r="A18" s="41">
        <v>2</v>
      </c>
      <c r="B18" s="57" t="s">
        <v>41</v>
      </c>
      <c r="C18" s="57" t="s">
        <v>40</v>
      </c>
      <c r="D18" s="57" t="s">
        <v>137</v>
      </c>
      <c r="E18" s="57" t="s">
        <v>138</v>
      </c>
      <c r="F18" s="58" t="s">
        <v>12</v>
      </c>
    </row>
    <row r="19" spans="1:6" ht="15" customHeight="1" x14ac:dyDescent="0.25">
      <c r="A19" s="41">
        <v>2</v>
      </c>
      <c r="B19" s="57" t="s">
        <v>127</v>
      </c>
      <c r="C19" s="57" t="s">
        <v>34</v>
      </c>
      <c r="D19" s="57" t="s">
        <v>128</v>
      </c>
      <c r="E19" s="59" t="s">
        <v>129</v>
      </c>
      <c r="F19" s="58" t="s">
        <v>12</v>
      </c>
    </row>
    <row r="20" spans="1:6" ht="15" customHeight="1" x14ac:dyDescent="0.25">
      <c r="A20" s="41">
        <v>2</v>
      </c>
      <c r="B20" s="57" t="s">
        <v>29</v>
      </c>
      <c r="C20" s="57" t="s">
        <v>34</v>
      </c>
      <c r="D20" s="57" t="s">
        <v>130</v>
      </c>
      <c r="E20" s="57" t="s">
        <v>124</v>
      </c>
      <c r="F20" s="58" t="s">
        <v>12</v>
      </c>
    </row>
    <row r="21" spans="1:6" ht="15" customHeight="1" x14ac:dyDescent="0.25">
      <c r="A21" s="53"/>
      <c r="B21" s="54"/>
      <c r="C21" s="54"/>
      <c r="D21" s="54"/>
      <c r="E21" s="54"/>
      <c r="F21" s="55"/>
    </row>
    <row r="22" spans="1:6" ht="15" customHeight="1" x14ac:dyDescent="0.25">
      <c r="A22" s="30">
        <v>3</v>
      </c>
      <c r="B22" s="57" t="s">
        <v>139</v>
      </c>
      <c r="C22" s="57" t="s">
        <v>34</v>
      </c>
      <c r="D22" s="59" t="s">
        <v>140</v>
      </c>
      <c r="E22" s="57" t="s">
        <v>101</v>
      </c>
      <c r="F22" s="58" t="s">
        <v>149</v>
      </c>
    </row>
    <row r="23" spans="1:6" ht="15" customHeight="1" x14ac:dyDescent="0.25">
      <c r="A23" s="30">
        <v>3</v>
      </c>
      <c r="B23" s="57" t="s">
        <v>125</v>
      </c>
      <c r="C23" s="57" t="s">
        <v>34</v>
      </c>
      <c r="D23" s="57" t="s">
        <v>141</v>
      </c>
      <c r="E23" s="57" t="s">
        <v>142</v>
      </c>
      <c r="F23" s="58" t="s">
        <v>149</v>
      </c>
    </row>
    <row r="24" spans="1:6" ht="15" customHeight="1" x14ac:dyDescent="0.25">
      <c r="A24" s="53">
        <v>3</v>
      </c>
      <c r="B24" s="57" t="s">
        <v>33</v>
      </c>
      <c r="C24" s="57" t="s">
        <v>51</v>
      </c>
      <c r="D24" s="57" t="s">
        <v>143</v>
      </c>
      <c r="E24" s="59" t="s">
        <v>144</v>
      </c>
      <c r="F24" s="58" t="s">
        <v>149</v>
      </c>
    </row>
    <row r="25" spans="1:6" ht="15" customHeight="1" x14ac:dyDescent="0.25">
      <c r="A25" s="53"/>
      <c r="B25" s="54"/>
      <c r="C25" s="54"/>
      <c r="D25" s="54"/>
      <c r="E25" s="54"/>
      <c r="F25" s="55"/>
    </row>
    <row r="26" spans="1:6" ht="15" customHeight="1" x14ac:dyDescent="0.25">
      <c r="A26" s="41">
        <v>4</v>
      </c>
      <c r="B26" s="57" t="s">
        <v>109</v>
      </c>
      <c r="C26" s="57" t="s">
        <v>110</v>
      </c>
      <c r="D26" s="59" t="s">
        <v>111</v>
      </c>
      <c r="E26" s="57" t="s">
        <v>112</v>
      </c>
      <c r="F26" s="58" t="s">
        <v>123</v>
      </c>
    </row>
    <row r="27" spans="1:6" ht="15" customHeight="1" x14ac:dyDescent="0.25">
      <c r="A27" s="30">
        <v>4</v>
      </c>
      <c r="B27" s="57" t="s">
        <v>120</v>
      </c>
      <c r="C27" s="57" t="s">
        <v>121</v>
      </c>
      <c r="D27" s="57" t="s">
        <v>122</v>
      </c>
      <c r="E27" s="59" t="s">
        <v>150</v>
      </c>
      <c r="F27" s="58" t="s">
        <v>123</v>
      </c>
    </row>
    <row r="28" spans="1:6" ht="15" customHeight="1" x14ac:dyDescent="0.25">
      <c r="A28" s="41">
        <v>4</v>
      </c>
      <c r="B28" s="57" t="s">
        <v>109</v>
      </c>
      <c r="C28" s="57" t="s">
        <v>115</v>
      </c>
      <c r="D28" s="57" t="s">
        <v>116</v>
      </c>
      <c r="E28" s="57" t="s">
        <v>117</v>
      </c>
      <c r="F28" s="58" t="s">
        <v>123</v>
      </c>
    </row>
    <row r="29" spans="1:6" ht="15" customHeight="1" x14ac:dyDescent="0.25">
      <c r="A29" s="41">
        <v>4</v>
      </c>
      <c r="B29" s="57" t="s">
        <v>113</v>
      </c>
      <c r="C29" s="57" t="s">
        <v>54</v>
      </c>
      <c r="D29" s="57" t="s">
        <v>131</v>
      </c>
      <c r="E29" s="57" t="s">
        <v>134</v>
      </c>
      <c r="F29" s="58" t="s">
        <v>123</v>
      </c>
    </row>
    <row r="30" spans="1:6" ht="15" customHeight="1" x14ac:dyDescent="0.25">
      <c r="A30" s="47"/>
      <c r="B30" s="46"/>
      <c r="C30" s="46"/>
      <c r="D30" s="46"/>
      <c r="E30" s="47"/>
      <c r="F30" s="44"/>
    </row>
    <row r="31" spans="1:6" ht="15" customHeight="1" x14ac:dyDescent="0.25">
      <c r="D31" s="22"/>
    </row>
    <row r="32" spans="1:6" ht="15" customHeight="1" x14ac:dyDescent="0.25">
      <c r="D32" s="22"/>
    </row>
    <row r="33" spans="4:4" ht="15" customHeight="1" x14ac:dyDescent="0.25">
      <c r="D33" s="22"/>
    </row>
    <row r="34" spans="4:4" ht="15" customHeight="1" x14ac:dyDescent="0.25">
      <c r="D34" s="22"/>
    </row>
    <row r="35" spans="4:4" ht="18" customHeight="1" x14ac:dyDescent="0.25">
      <c r="D35" s="22"/>
    </row>
    <row r="36" spans="4:4" ht="18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30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  <row r="65" spans="4:4" ht="18" customHeight="1" x14ac:dyDescent="0.25">
      <c r="D65" s="22"/>
    </row>
  </sheetData>
  <mergeCells count="5">
    <mergeCell ref="A1:F1"/>
    <mergeCell ref="A3:B3"/>
    <mergeCell ref="C3:E3"/>
    <mergeCell ref="A4:B4"/>
    <mergeCell ref="C4:F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9F9-A102-4E13-89EF-91C55BD2CB71}">
  <sheetPr>
    <pageSetUpPr fitToPage="1"/>
  </sheetPr>
  <dimension ref="A1:F62"/>
  <sheetViews>
    <sheetView showGridLines="0" zoomScale="130" zoomScaleNormal="130" workbookViewId="0">
      <selection activeCell="D5" sqref="D5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7" t="s">
        <v>82</v>
      </c>
      <c r="B1" s="87"/>
      <c r="C1" s="87"/>
      <c r="D1" s="87"/>
      <c r="E1" s="87"/>
      <c r="F1" s="87"/>
    </row>
    <row r="2" spans="1:6" ht="9.9499999999999993" customHeight="1" x14ac:dyDescent="0.25"/>
    <row r="3" spans="1:6" ht="30" customHeight="1" x14ac:dyDescent="0.25">
      <c r="A3" s="84" t="s">
        <v>20</v>
      </c>
      <c r="B3" s="84"/>
      <c r="C3" s="86" t="s">
        <v>167</v>
      </c>
      <c r="D3" s="86"/>
      <c r="E3" s="86"/>
      <c r="F3" s="38" t="s">
        <v>18</v>
      </c>
    </row>
    <row r="4" spans="1:6" ht="18" customHeight="1" x14ac:dyDescent="0.25">
      <c r="A4" s="85" t="s">
        <v>21</v>
      </c>
      <c r="B4" s="85"/>
      <c r="C4" s="83" t="s">
        <v>187</v>
      </c>
      <c r="D4" s="88" t="s">
        <v>188</v>
      </c>
      <c r="E4" s="88"/>
      <c r="F4" s="88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4" t="s">
        <v>73</v>
      </c>
      <c r="B6" s="34" t="s">
        <v>182</v>
      </c>
      <c r="C6" s="34" t="s">
        <v>183</v>
      </c>
      <c r="D6" s="34" t="s">
        <v>78</v>
      </c>
      <c r="E6" s="34" t="s">
        <v>79</v>
      </c>
      <c r="F6" s="31" t="s">
        <v>75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50</v>
      </c>
      <c r="C8" s="70" t="s">
        <v>51</v>
      </c>
      <c r="D8" s="72" t="s">
        <v>87</v>
      </c>
      <c r="E8" s="70" t="s">
        <v>95</v>
      </c>
      <c r="F8" s="71" t="s">
        <v>13</v>
      </c>
    </row>
    <row r="9" spans="1:6" ht="15" customHeight="1" x14ac:dyDescent="0.25">
      <c r="A9" s="30">
        <v>1</v>
      </c>
      <c r="B9" s="70" t="s">
        <v>53</v>
      </c>
      <c r="C9" s="70" t="s">
        <v>54</v>
      </c>
      <c r="D9" s="70" t="s">
        <v>96</v>
      </c>
      <c r="E9" s="72" t="s">
        <v>97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41">
        <v>2</v>
      </c>
      <c r="B11" s="70" t="s">
        <v>29</v>
      </c>
      <c r="C11" s="70" t="s">
        <v>34</v>
      </c>
      <c r="D11" s="72" t="s">
        <v>98</v>
      </c>
      <c r="E11" s="70" t="s">
        <v>99</v>
      </c>
      <c r="F11" s="71" t="s">
        <v>12</v>
      </c>
    </row>
    <row r="12" spans="1:6" ht="15" customHeight="1" x14ac:dyDescent="0.25">
      <c r="A12" s="41">
        <v>2</v>
      </c>
      <c r="B12" s="70" t="s">
        <v>41</v>
      </c>
      <c r="C12" s="70" t="s">
        <v>44</v>
      </c>
      <c r="D12" s="70" t="s">
        <v>100</v>
      </c>
      <c r="E12" s="70" t="s">
        <v>101</v>
      </c>
      <c r="F12" s="71" t="s">
        <v>12</v>
      </c>
    </row>
    <row r="13" spans="1:6" ht="15" customHeight="1" x14ac:dyDescent="0.25">
      <c r="A13" s="41">
        <v>2</v>
      </c>
      <c r="B13" s="70" t="s">
        <v>41</v>
      </c>
      <c r="C13" s="70" t="s">
        <v>40</v>
      </c>
      <c r="D13" s="70" t="s">
        <v>26</v>
      </c>
      <c r="E13" s="70" t="s">
        <v>102</v>
      </c>
      <c r="F13" s="71" t="s">
        <v>12</v>
      </c>
    </row>
    <row r="14" spans="1:6" ht="15" customHeight="1" x14ac:dyDescent="0.25">
      <c r="A14" s="41">
        <v>2</v>
      </c>
      <c r="B14" s="70" t="s">
        <v>33</v>
      </c>
      <c r="C14" s="70" t="s">
        <v>34</v>
      </c>
      <c r="D14" s="70" t="s">
        <v>103</v>
      </c>
      <c r="E14" s="70" t="s">
        <v>151</v>
      </c>
      <c r="F14" s="71" t="s">
        <v>12</v>
      </c>
    </row>
    <row r="15" spans="1:6" ht="15" customHeight="1" x14ac:dyDescent="0.25">
      <c r="A15" s="30">
        <v>2</v>
      </c>
      <c r="B15" s="70" t="s">
        <v>62</v>
      </c>
      <c r="C15" s="70" t="s">
        <v>63</v>
      </c>
      <c r="D15" s="70" t="s">
        <v>104</v>
      </c>
      <c r="E15" s="70" t="s">
        <v>105</v>
      </c>
      <c r="F15" s="71" t="s">
        <v>12</v>
      </c>
    </row>
    <row r="16" spans="1:6" ht="15" customHeight="1" x14ac:dyDescent="0.25">
      <c r="A16" s="30">
        <v>2</v>
      </c>
      <c r="B16" s="70" t="s">
        <v>29</v>
      </c>
      <c r="C16" s="70" t="s">
        <v>37</v>
      </c>
      <c r="D16" s="70" t="s">
        <v>64</v>
      </c>
      <c r="E16" s="72" t="s">
        <v>106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30">
        <v>3</v>
      </c>
      <c r="B18" s="70" t="s">
        <v>125</v>
      </c>
      <c r="C18" s="70" t="s">
        <v>34</v>
      </c>
      <c r="D18" s="72" t="s">
        <v>141</v>
      </c>
      <c r="E18" s="72" t="s">
        <v>142</v>
      </c>
      <c r="F18" s="71" t="s">
        <v>176</v>
      </c>
    </row>
    <row r="19" spans="1:6" ht="15" customHeight="1" x14ac:dyDescent="0.25">
      <c r="A19" s="41">
        <v>3</v>
      </c>
      <c r="B19" s="70" t="s">
        <v>33</v>
      </c>
      <c r="C19" s="70" t="s">
        <v>37</v>
      </c>
      <c r="D19" s="70" t="s">
        <v>152</v>
      </c>
      <c r="E19" s="70" t="s">
        <v>99</v>
      </c>
      <c r="F19" s="71" t="s">
        <v>176</v>
      </c>
    </row>
    <row r="20" spans="1:6" ht="15" customHeight="1" x14ac:dyDescent="0.25">
      <c r="A20" s="30">
        <v>3</v>
      </c>
      <c r="B20" s="70" t="s">
        <v>62</v>
      </c>
      <c r="C20" s="70" t="s">
        <v>37</v>
      </c>
      <c r="D20" s="70" t="s">
        <v>107</v>
      </c>
      <c r="E20" s="70" t="s">
        <v>108</v>
      </c>
      <c r="F20" s="71" t="s">
        <v>176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30">
        <v>4</v>
      </c>
      <c r="B22" s="70" t="s">
        <v>109</v>
      </c>
      <c r="C22" s="70" t="s">
        <v>110</v>
      </c>
      <c r="D22" s="72" t="s">
        <v>111</v>
      </c>
      <c r="E22" s="70" t="s">
        <v>112</v>
      </c>
      <c r="F22" s="71" t="s">
        <v>181</v>
      </c>
    </row>
    <row r="23" spans="1:6" ht="15" customHeight="1" x14ac:dyDescent="0.25">
      <c r="A23" s="45">
        <v>4</v>
      </c>
      <c r="B23" s="70" t="s">
        <v>113</v>
      </c>
      <c r="C23" s="70" t="s">
        <v>54</v>
      </c>
      <c r="D23" s="70" t="s">
        <v>114</v>
      </c>
      <c r="E23" s="70" t="s">
        <v>35</v>
      </c>
      <c r="F23" s="71" t="s">
        <v>181</v>
      </c>
    </row>
    <row r="24" spans="1:6" ht="15" customHeight="1" x14ac:dyDescent="0.25">
      <c r="A24" s="41">
        <v>4</v>
      </c>
      <c r="B24" s="70" t="s">
        <v>120</v>
      </c>
      <c r="C24" s="70" t="s">
        <v>121</v>
      </c>
      <c r="D24" s="70" t="s">
        <v>122</v>
      </c>
      <c r="E24" s="72" t="s">
        <v>150</v>
      </c>
      <c r="F24" s="71" t="s">
        <v>181</v>
      </c>
    </row>
    <row r="25" spans="1:6" ht="15" customHeight="1" x14ac:dyDescent="0.25">
      <c r="A25" s="30">
        <v>4</v>
      </c>
      <c r="B25" s="70" t="s">
        <v>109</v>
      </c>
      <c r="C25" s="70" t="s">
        <v>115</v>
      </c>
      <c r="D25" s="70" t="s">
        <v>116</v>
      </c>
      <c r="E25" s="70" t="s">
        <v>117</v>
      </c>
      <c r="F25" s="71" t="s">
        <v>181</v>
      </c>
    </row>
    <row r="26" spans="1:6" ht="15" customHeight="1" x14ac:dyDescent="0.25">
      <c r="A26" s="41">
        <v>4</v>
      </c>
      <c r="B26" s="70" t="s">
        <v>113</v>
      </c>
      <c r="C26" s="70" t="s">
        <v>115</v>
      </c>
      <c r="D26" s="70" t="s">
        <v>118</v>
      </c>
      <c r="E26" s="70" t="s">
        <v>119</v>
      </c>
      <c r="F26" s="71" t="s">
        <v>181</v>
      </c>
    </row>
    <row r="27" spans="1:6" ht="15" customHeight="1" x14ac:dyDescent="0.25">
      <c r="A27" s="47"/>
      <c r="B27" s="46"/>
      <c r="C27" s="46"/>
      <c r="D27" s="46"/>
      <c r="E27" s="47"/>
      <c r="F27" s="44"/>
    </row>
    <row r="28" spans="1:6" ht="30" customHeight="1" x14ac:dyDescent="0.25">
      <c r="A28" s="32" t="s">
        <v>73</v>
      </c>
      <c r="B28" s="32" t="s">
        <v>80</v>
      </c>
      <c r="C28" s="32" t="s">
        <v>81</v>
      </c>
      <c r="D28" s="32" t="s">
        <v>74</v>
      </c>
      <c r="E28" s="32" t="s">
        <v>77</v>
      </c>
      <c r="F28" s="35" t="s">
        <v>75</v>
      </c>
    </row>
    <row r="29" spans="1:6" ht="18" customHeight="1" x14ac:dyDescent="0.25">
      <c r="A29" s="30">
        <v>1</v>
      </c>
      <c r="B29" s="36">
        <v>0.37291666666666667</v>
      </c>
      <c r="C29" s="36">
        <v>0.65972222222222221</v>
      </c>
      <c r="D29" s="39">
        <f>C29-B29</f>
        <v>0.28680555555555554</v>
      </c>
      <c r="E29" s="40">
        <f>ROUNDUP((C29-B29)*24,0)</f>
        <v>7</v>
      </c>
      <c r="F29" s="37" t="s">
        <v>13</v>
      </c>
    </row>
    <row r="30" spans="1:6" ht="18" customHeight="1" x14ac:dyDescent="0.25">
      <c r="A30" s="30">
        <v>2</v>
      </c>
      <c r="B30" s="36">
        <v>0.36875000000000002</v>
      </c>
      <c r="C30" s="36">
        <v>0.65833333333333333</v>
      </c>
      <c r="D30" s="39">
        <f t="shared" ref="D30:D32" si="0">C30-B30</f>
        <v>0.2895833333333333</v>
      </c>
      <c r="E30" s="40">
        <f>ROUNDUP((C30-B30)*24,0)</f>
        <v>7</v>
      </c>
      <c r="F30" s="37" t="s">
        <v>12</v>
      </c>
    </row>
    <row r="31" spans="1:6" ht="18" customHeight="1" x14ac:dyDescent="0.25">
      <c r="A31" s="30">
        <v>3</v>
      </c>
      <c r="B31" s="36">
        <v>0.41180555555555554</v>
      </c>
      <c r="C31" s="36">
        <v>0.6381944444444444</v>
      </c>
      <c r="D31" s="39">
        <f t="shared" si="0"/>
        <v>0.22638888888888886</v>
      </c>
      <c r="E31" s="40">
        <f>ROUNDUP((C31-B31)*24,0)</f>
        <v>6</v>
      </c>
      <c r="F31" s="73" t="s">
        <v>176</v>
      </c>
    </row>
    <row r="32" spans="1:6" ht="18" customHeight="1" x14ac:dyDescent="0.25">
      <c r="A32" s="30">
        <v>4</v>
      </c>
      <c r="B32" s="36">
        <v>0.37708333333333333</v>
      </c>
      <c r="C32" s="36">
        <v>0.66736111111111107</v>
      </c>
      <c r="D32" s="39">
        <f t="shared" si="0"/>
        <v>0.29027777777777775</v>
      </c>
      <c r="E32" s="40">
        <f>ROUNDUP((C32-B32)*24,0)</f>
        <v>7</v>
      </c>
      <c r="F32" s="73" t="s">
        <v>181</v>
      </c>
    </row>
    <row r="33" spans="4:4" ht="18" customHeight="1" x14ac:dyDescent="0.25">
      <c r="D33" s="22"/>
    </row>
    <row r="34" spans="4:4" ht="18" customHeight="1" x14ac:dyDescent="0.25">
      <c r="D34" s="22"/>
    </row>
    <row r="35" spans="4:4" ht="18" customHeight="1" x14ac:dyDescent="0.25">
      <c r="D35" s="22"/>
    </row>
    <row r="36" spans="4:4" ht="30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18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</sheetData>
  <mergeCells count="5">
    <mergeCell ref="A1:F1"/>
    <mergeCell ref="A3:B3"/>
    <mergeCell ref="C3:E3"/>
    <mergeCell ref="A4:B4"/>
    <mergeCell ref="D4:F4"/>
  </mergeCells>
  <pageMargins left="0.7" right="0.7" top="0.75" bottom="0.75" header="0.3" footer="0.3"/>
  <pageSetup paperSize="9" orientation="portrait" r:id="rId1"/>
  <ignoredErrors>
    <ignoredError sqref="A3 B27:F27 B33:F4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9F41-B749-479F-AA3C-5C443B4C29A6}">
  <sheetPr>
    <pageSetUpPr fitToPage="1"/>
  </sheetPr>
  <dimension ref="A1:F62"/>
  <sheetViews>
    <sheetView showGridLines="0" zoomScale="130" zoomScaleNormal="130" workbookViewId="0">
      <selection activeCell="D6" sqref="D6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7" t="s">
        <v>82</v>
      </c>
      <c r="B1" s="87"/>
      <c r="C1" s="87"/>
      <c r="D1" s="87"/>
      <c r="E1" s="87"/>
      <c r="F1" s="87"/>
    </row>
    <row r="2" spans="1:6" ht="9.9499999999999993" customHeight="1" x14ac:dyDescent="0.25"/>
    <row r="3" spans="1:6" ht="30" customHeight="1" x14ac:dyDescent="0.25">
      <c r="A3" s="84" t="s">
        <v>20</v>
      </c>
      <c r="B3" s="84"/>
      <c r="C3" s="86" t="s">
        <v>167</v>
      </c>
      <c r="D3" s="86"/>
      <c r="E3" s="86"/>
      <c r="F3" s="38" t="s">
        <v>19</v>
      </c>
    </row>
    <row r="4" spans="1:6" ht="18" customHeight="1" x14ac:dyDescent="0.25">
      <c r="A4" s="85" t="s">
        <v>21</v>
      </c>
      <c r="B4" s="85"/>
      <c r="C4" s="83" t="s">
        <v>187</v>
      </c>
      <c r="D4" s="88"/>
      <c r="E4" s="88"/>
      <c r="F4" s="88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4" t="s">
        <v>73</v>
      </c>
      <c r="B6" s="34" t="s">
        <v>182</v>
      </c>
      <c r="C6" s="34" t="s">
        <v>183</v>
      </c>
      <c r="D6" s="34" t="s">
        <v>78</v>
      </c>
      <c r="E6" s="34" t="s">
        <v>79</v>
      </c>
      <c r="F6" s="31" t="s">
        <v>75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50</v>
      </c>
      <c r="C8" s="70" t="s">
        <v>51</v>
      </c>
      <c r="D8" s="72" t="s">
        <v>87</v>
      </c>
      <c r="E8" s="70" t="s">
        <v>95</v>
      </c>
      <c r="F8" s="71" t="s">
        <v>13</v>
      </c>
    </row>
    <row r="9" spans="1:6" ht="15" customHeight="1" x14ac:dyDescent="0.25">
      <c r="A9" s="30">
        <v>1</v>
      </c>
      <c r="B9" s="70" t="s">
        <v>53</v>
      </c>
      <c r="C9" s="70" t="s">
        <v>54</v>
      </c>
      <c r="D9" s="70" t="s">
        <v>96</v>
      </c>
      <c r="E9" s="72" t="s">
        <v>97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41">
        <v>2</v>
      </c>
      <c r="B11" s="70" t="s">
        <v>29</v>
      </c>
      <c r="C11" s="70" t="s">
        <v>34</v>
      </c>
      <c r="D11" s="72" t="s">
        <v>98</v>
      </c>
      <c r="E11" s="70" t="s">
        <v>99</v>
      </c>
      <c r="F11" s="71" t="s">
        <v>12</v>
      </c>
    </row>
    <row r="12" spans="1:6" ht="15" customHeight="1" x14ac:dyDescent="0.25">
      <c r="A12" s="41">
        <v>2</v>
      </c>
      <c r="B12" s="70" t="s">
        <v>41</v>
      </c>
      <c r="C12" s="70" t="s">
        <v>44</v>
      </c>
      <c r="D12" s="70" t="s">
        <v>100</v>
      </c>
      <c r="E12" s="70" t="s">
        <v>101</v>
      </c>
      <c r="F12" s="71" t="s">
        <v>12</v>
      </c>
    </row>
    <row r="13" spans="1:6" ht="15" customHeight="1" x14ac:dyDescent="0.25">
      <c r="A13" s="41">
        <v>2</v>
      </c>
      <c r="B13" s="70" t="s">
        <v>41</v>
      </c>
      <c r="C13" s="70" t="s">
        <v>40</v>
      </c>
      <c r="D13" s="70" t="s">
        <v>26</v>
      </c>
      <c r="E13" s="70" t="s">
        <v>102</v>
      </c>
      <c r="F13" s="71" t="s">
        <v>12</v>
      </c>
    </row>
    <row r="14" spans="1:6" ht="15" customHeight="1" x14ac:dyDescent="0.25">
      <c r="A14" s="41">
        <v>2</v>
      </c>
      <c r="B14" s="70" t="s">
        <v>33</v>
      </c>
      <c r="C14" s="70" t="s">
        <v>34</v>
      </c>
      <c r="D14" s="70" t="s">
        <v>103</v>
      </c>
      <c r="E14" s="70" t="s">
        <v>151</v>
      </c>
      <c r="F14" s="71" t="s">
        <v>12</v>
      </c>
    </row>
    <row r="15" spans="1:6" ht="15" customHeight="1" x14ac:dyDescent="0.25">
      <c r="A15" s="30">
        <v>2</v>
      </c>
      <c r="B15" s="70" t="s">
        <v>62</v>
      </c>
      <c r="C15" s="70" t="s">
        <v>63</v>
      </c>
      <c r="D15" s="74">
        <v>0.5</v>
      </c>
      <c r="E15" s="70" t="s">
        <v>105</v>
      </c>
      <c r="F15" s="71" t="s">
        <v>12</v>
      </c>
    </row>
    <row r="16" spans="1:6" ht="15" customHeight="1" x14ac:dyDescent="0.25">
      <c r="A16" s="30">
        <v>2</v>
      </c>
      <c r="B16" s="70" t="s">
        <v>29</v>
      </c>
      <c r="C16" s="70" t="s">
        <v>37</v>
      </c>
      <c r="D16" s="70" t="s">
        <v>64</v>
      </c>
      <c r="E16" s="72" t="s">
        <v>106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30">
        <v>3</v>
      </c>
      <c r="B18" s="70" t="s">
        <v>125</v>
      </c>
      <c r="C18" s="70" t="s">
        <v>34</v>
      </c>
      <c r="D18" s="72" t="s">
        <v>141</v>
      </c>
      <c r="E18" s="72" t="s">
        <v>142</v>
      </c>
      <c r="F18" s="71" t="s">
        <v>176</v>
      </c>
    </row>
    <row r="19" spans="1:6" ht="15" customHeight="1" x14ac:dyDescent="0.25">
      <c r="A19" s="41">
        <v>3</v>
      </c>
      <c r="B19" s="70" t="s">
        <v>33</v>
      </c>
      <c r="C19" s="70" t="s">
        <v>37</v>
      </c>
      <c r="D19" s="70" t="s">
        <v>152</v>
      </c>
      <c r="E19" s="70" t="s">
        <v>99</v>
      </c>
      <c r="F19" s="71" t="s">
        <v>176</v>
      </c>
    </row>
    <row r="20" spans="1:6" ht="15" customHeight="1" x14ac:dyDescent="0.25">
      <c r="A20" s="30">
        <v>3</v>
      </c>
      <c r="B20" s="70" t="s">
        <v>62</v>
      </c>
      <c r="C20" s="70" t="s">
        <v>37</v>
      </c>
      <c r="D20" s="70" t="s">
        <v>107</v>
      </c>
      <c r="E20" s="70" t="s">
        <v>108</v>
      </c>
      <c r="F20" s="71" t="s">
        <v>176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30">
        <v>4</v>
      </c>
      <c r="B22" s="70" t="s">
        <v>109</v>
      </c>
      <c r="C22" s="70" t="s">
        <v>110</v>
      </c>
      <c r="D22" s="72" t="s">
        <v>111</v>
      </c>
      <c r="E22" s="70" t="s">
        <v>112</v>
      </c>
      <c r="F22" s="71" t="s">
        <v>181</v>
      </c>
    </row>
    <row r="23" spans="1:6" ht="15" customHeight="1" x14ac:dyDescent="0.25">
      <c r="A23" s="45">
        <v>4</v>
      </c>
      <c r="B23" s="70" t="s">
        <v>113</v>
      </c>
      <c r="C23" s="70" t="s">
        <v>54</v>
      </c>
      <c r="D23" s="70" t="s">
        <v>114</v>
      </c>
      <c r="E23" s="70" t="s">
        <v>35</v>
      </c>
      <c r="F23" s="71" t="s">
        <v>181</v>
      </c>
    </row>
    <row r="24" spans="1:6" ht="15" customHeight="1" x14ac:dyDescent="0.25">
      <c r="A24" s="41">
        <v>4</v>
      </c>
      <c r="B24" s="70" t="s">
        <v>120</v>
      </c>
      <c r="C24" s="70" t="s">
        <v>121</v>
      </c>
      <c r="D24" s="70" t="s">
        <v>122</v>
      </c>
      <c r="E24" s="72" t="s">
        <v>150</v>
      </c>
      <c r="F24" s="71" t="s">
        <v>181</v>
      </c>
    </row>
    <row r="25" spans="1:6" ht="15" customHeight="1" x14ac:dyDescent="0.25">
      <c r="A25" s="30">
        <v>4</v>
      </c>
      <c r="B25" s="70" t="s">
        <v>109</v>
      </c>
      <c r="C25" s="70" t="s">
        <v>115</v>
      </c>
      <c r="D25" s="70" t="s">
        <v>116</v>
      </c>
      <c r="E25" s="70" t="s">
        <v>117</v>
      </c>
      <c r="F25" s="71" t="s">
        <v>181</v>
      </c>
    </row>
    <row r="26" spans="1:6" ht="15" customHeight="1" x14ac:dyDescent="0.25">
      <c r="A26" s="41">
        <v>4</v>
      </c>
      <c r="B26" s="70" t="s">
        <v>113</v>
      </c>
      <c r="C26" s="70" t="s">
        <v>115</v>
      </c>
      <c r="D26" s="70" t="s">
        <v>118</v>
      </c>
      <c r="E26" s="70" t="s">
        <v>119</v>
      </c>
      <c r="F26" s="71" t="s">
        <v>181</v>
      </c>
    </row>
    <row r="27" spans="1:6" ht="15" customHeight="1" x14ac:dyDescent="0.25">
      <c r="A27" s="47"/>
      <c r="B27" s="46"/>
      <c r="C27" s="46"/>
      <c r="D27" s="46"/>
      <c r="E27" s="47"/>
      <c r="F27" s="44"/>
    </row>
    <row r="28" spans="1:6" ht="30" customHeight="1" x14ac:dyDescent="0.25">
      <c r="A28" s="32" t="s">
        <v>73</v>
      </c>
      <c r="B28" s="32" t="s">
        <v>80</v>
      </c>
      <c r="C28" s="32" t="s">
        <v>81</v>
      </c>
      <c r="D28" s="32" t="s">
        <v>74</v>
      </c>
      <c r="E28" s="32" t="s">
        <v>77</v>
      </c>
      <c r="F28" s="35" t="s">
        <v>75</v>
      </c>
    </row>
    <row r="29" spans="1:6" ht="15" customHeight="1" x14ac:dyDescent="0.25">
      <c r="A29" s="30">
        <v>1</v>
      </c>
      <c r="B29" s="36">
        <v>0.37291666666666667</v>
      </c>
      <c r="C29" s="36">
        <v>0.65972222222222221</v>
      </c>
      <c r="D29" s="39">
        <f>C29-B29</f>
        <v>0.28680555555555554</v>
      </c>
      <c r="E29" s="40">
        <f>ROUNDUP((C29-B29)*24,0)</f>
        <v>7</v>
      </c>
      <c r="F29" s="37" t="s">
        <v>13</v>
      </c>
    </row>
    <row r="30" spans="1:6" ht="15" customHeight="1" x14ac:dyDescent="0.25">
      <c r="A30" s="30">
        <v>2</v>
      </c>
      <c r="B30" s="36">
        <v>0.36875000000000002</v>
      </c>
      <c r="C30" s="36">
        <v>0.65833333333333333</v>
      </c>
      <c r="D30" s="39">
        <f t="shared" ref="D30:D32" si="0">C30-B30</f>
        <v>0.2895833333333333</v>
      </c>
      <c r="E30" s="40">
        <f>ROUNDUP((C30-B30)*24,0)</f>
        <v>7</v>
      </c>
      <c r="F30" s="37" t="s">
        <v>12</v>
      </c>
    </row>
    <row r="31" spans="1:6" ht="15" customHeight="1" x14ac:dyDescent="0.25">
      <c r="A31" s="30">
        <v>3</v>
      </c>
      <c r="B31" s="36">
        <v>0.41180555555555554</v>
      </c>
      <c r="C31" s="36">
        <v>0.6381944444444444</v>
      </c>
      <c r="D31" s="39">
        <f t="shared" si="0"/>
        <v>0.22638888888888886</v>
      </c>
      <c r="E31" s="40">
        <f>ROUNDUP((C31-B31)*24,0)</f>
        <v>6</v>
      </c>
      <c r="F31" s="73" t="s">
        <v>176</v>
      </c>
    </row>
    <row r="32" spans="1:6" ht="15" customHeight="1" x14ac:dyDescent="0.25">
      <c r="A32" s="30">
        <v>4</v>
      </c>
      <c r="B32" s="36">
        <v>0.37708333333333333</v>
      </c>
      <c r="C32" s="36">
        <v>0.66736111111111107</v>
      </c>
      <c r="D32" s="39">
        <f t="shared" si="0"/>
        <v>0.29027777777777775</v>
      </c>
      <c r="E32" s="40">
        <f>ROUNDUP((C32-B32)*24,0)</f>
        <v>7</v>
      </c>
      <c r="F32" s="73" t="s">
        <v>181</v>
      </c>
    </row>
    <row r="33" spans="4:4" ht="18" customHeight="1" x14ac:dyDescent="0.25">
      <c r="D33" s="22"/>
    </row>
    <row r="34" spans="4:4" ht="18" customHeight="1" x14ac:dyDescent="0.25">
      <c r="D34" s="22"/>
    </row>
    <row r="35" spans="4:4" ht="18" customHeight="1" x14ac:dyDescent="0.25">
      <c r="D35" s="22"/>
    </row>
    <row r="36" spans="4:4" ht="30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18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</sheetData>
  <mergeCells count="5">
    <mergeCell ref="A1:F1"/>
    <mergeCell ref="A3:B3"/>
    <mergeCell ref="C3:E3"/>
    <mergeCell ref="A4:B4"/>
    <mergeCell ref="D4:F4"/>
  </mergeCells>
  <pageMargins left="0.7" right="0.7" top="0.75" bottom="0.75" header="0.3" footer="0.3"/>
  <pageSetup paperSize="9" orientation="portrait" r:id="rId1"/>
  <ignoredErrors>
    <ignoredError sqref="A3 B27:F2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F034-BA36-4ED4-8798-5341E2DB3DCA}">
  <sheetPr>
    <tabColor theme="9" tint="0.59999389629810485"/>
    <pageSetUpPr fitToPage="1"/>
  </sheetPr>
  <dimension ref="A1:F64"/>
  <sheetViews>
    <sheetView showGridLines="0" zoomScale="130" zoomScaleNormal="130" workbookViewId="0">
      <selection activeCell="C6" sqref="C6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87" t="s">
        <v>82</v>
      </c>
      <c r="B1" s="87"/>
      <c r="C1" s="87"/>
      <c r="D1" s="87"/>
      <c r="E1" s="87"/>
      <c r="F1" s="87"/>
    </row>
    <row r="2" spans="1:6" ht="9.9499999999999993" customHeight="1" x14ac:dyDescent="0.25"/>
    <row r="3" spans="1:6" ht="30" customHeight="1" x14ac:dyDescent="0.25">
      <c r="A3" s="84" t="s">
        <v>20</v>
      </c>
      <c r="B3" s="84"/>
      <c r="C3" s="86" t="s">
        <v>167</v>
      </c>
      <c r="D3" s="86"/>
      <c r="E3" s="86"/>
      <c r="F3" s="38" t="s">
        <v>0</v>
      </c>
    </row>
    <row r="4" spans="1:6" ht="18" customHeight="1" x14ac:dyDescent="0.25">
      <c r="A4" s="85" t="s">
        <v>21</v>
      </c>
      <c r="B4" s="85"/>
      <c r="C4" s="83" t="s">
        <v>187</v>
      </c>
      <c r="D4" s="88" t="s">
        <v>186</v>
      </c>
      <c r="E4" s="88"/>
      <c r="F4" s="88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66" t="s">
        <v>73</v>
      </c>
      <c r="B6" s="34" t="s">
        <v>182</v>
      </c>
      <c r="C6" s="34" t="s">
        <v>183</v>
      </c>
      <c r="D6" s="66" t="s">
        <v>78</v>
      </c>
      <c r="E6" s="66" t="s">
        <v>79</v>
      </c>
      <c r="F6" s="67" t="s">
        <v>75</v>
      </c>
    </row>
    <row r="7" spans="1:6" ht="15" customHeight="1" x14ac:dyDescent="0.25">
      <c r="A7" s="82" t="s">
        <v>10</v>
      </c>
      <c r="B7" s="80"/>
      <c r="C7" s="80"/>
      <c r="D7" s="80"/>
      <c r="E7" s="80"/>
      <c r="F7" s="81"/>
    </row>
    <row r="8" spans="1:6" ht="15" customHeight="1" x14ac:dyDescent="0.25">
      <c r="D8" s="22"/>
    </row>
    <row r="9" spans="1:6" ht="30" customHeight="1" x14ac:dyDescent="0.25">
      <c r="A9" s="68" t="s">
        <v>73</v>
      </c>
      <c r="B9" s="68" t="s">
        <v>80</v>
      </c>
      <c r="C9" s="68" t="s">
        <v>81</v>
      </c>
      <c r="D9" s="68" t="s">
        <v>74</v>
      </c>
      <c r="E9" s="68" t="s">
        <v>77</v>
      </c>
      <c r="F9" s="69" t="s">
        <v>75</v>
      </c>
    </row>
    <row r="10" spans="1:6" ht="15" customHeight="1" x14ac:dyDescent="0.25">
      <c r="A10" s="82" t="s">
        <v>10</v>
      </c>
      <c r="B10" s="80"/>
      <c r="C10" s="80"/>
      <c r="D10" s="80"/>
      <c r="E10" s="80"/>
      <c r="F10" s="81"/>
    </row>
    <row r="11" spans="1:6" ht="30" customHeight="1" x14ac:dyDescent="0.25">
      <c r="D11" s="22"/>
    </row>
    <row r="12" spans="1:6" ht="15" customHeight="1" x14ac:dyDescent="0.25">
      <c r="D12" s="22"/>
    </row>
    <row r="13" spans="1:6" ht="15" customHeight="1" x14ac:dyDescent="0.25">
      <c r="D13" s="22"/>
    </row>
    <row r="14" spans="1:6" ht="15" customHeight="1" x14ac:dyDescent="0.25">
      <c r="D14" s="22"/>
    </row>
    <row r="15" spans="1:6" ht="15" customHeight="1" x14ac:dyDescent="0.25">
      <c r="D15" s="22"/>
    </row>
    <row r="16" spans="1:6" ht="15" customHeight="1" x14ac:dyDescent="0.25">
      <c r="D16" s="22"/>
    </row>
    <row r="17" spans="4:4" ht="15" customHeight="1" x14ac:dyDescent="0.25">
      <c r="D17" s="22"/>
    </row>
    <row r="18" spans="4:4" ht="15" customHeight="1" x14ac:dyDescent="0.25">
      <c r="D18" s="22"/>
    </row>
    <row r="19" spans="4:4" ht="15" customHeight="1" x14ac:dyDescent="0.25">
      <c r="D19" s="22"/>
    </row>
    <row r="20" spans="4:4" ht="15" customHeight="1" x14ac:dyDescent="0.25">
      <c r="D20" s="22"/>
    </row>
    <row r="21" spans="4:4" ht="15" customHeight="1" x14ac:dyDescent="0.25">
      <c r="D21" s="22"/>
    </row>
    <row r="22" spans="4:4" ht="15" customHeight="1" x14ac:dyDescent="0.25">
      <c r="D22" s="22"/>
    </row>
    <row r="23" spans="4:4" ht="15" customHeight="1" x14ac:dyDescent="0.25">
      <c r="D23" s="22"/>
    </row>
    <row r="24" spans="4:4" ht="15" customHeight="1" x14ac:dyDescent="0.25">
      <c r="D24" s="22"/>
    </row>
    <row r="25" spans="4:4" ht="15" customHeight="1" x14ac:dyDescent="0.25">
      <c r="D25" s="22"/>
    </row>
    <row r="26" spans="4:4" ht="15" customHeight="1" x14ac:dyDescent="0.25">
      <c r="D26" s="22"/>
    </row>
    <row r="27" spans="4:4" ht="15" customHeight="1" x14ac:dyDescent="0.25">
      <c r="D27" s="22"/>
    </row>
    <row r="28" spans="4:4" ht="15" customHeight="1" x14ac:dyDescent="0.25">
      <c r="D28" s="22"/>
    </row>
    <row r="29" spans="4:4" ht="15" customHeight="1" x14ac:dyDescent="0.25">
      <c r="D29" s="22"/>
    </row>
    <row r="30" spans="4:4" ht="15" customHeight="1" x14ac:dyDescent="0.25">
      <c r="D30" s="22"/>
    </row>
    <row r="31" spans="4:4" ht="15" customHeight="1" x14ac:dyDescent="0.25">
      <c r="D31" s="22"/>
    </row>
    <row r="32" spans="4:4" ht="15" customHeight="1" x14ac:dyDescent="0.25">
      <c r="D32" s="22"/>
    </row>
    <row r="33" spans="4:4" ht="15" customHeight="1" x14ac:dyDescent="0.25">
      <c r="D33" s="22"/>
    </row>
    <row r="34" spans="4:4" ht="18" customHeight="1" x14ac:dyDescent="0.25">
      <c r="D34" s="22"/>
    </row>
    <row r="35" spans="4:4" ht="18" customHeight="1" x14ac:dyDescent="0.25">
      <c r="D35" s="22"/>
    </row>
    <row r="36" spans="4:4" ht="18" customHeight="1" x14ac:dyDescent="0.25">
      <c r="D36" s="22"/>
    </row>
    <row r="37" spans="4:4" ht="18" customHeight="1" x14ac:dyDescent="0.25">
      <c r="D37" s="22"/>
    </row>
    <row r="38" spans="4:4" ht="30" customHeight="1" x14ac:dyDescent="0.25">
      <c r="D38" s="22"/>
    </row>
    <row r="39" spans="4:4" ht="18" customHeight="1" x14ac:dyDescent="0.25">
      <c r="D39" s="22"/>
    </row>
    <row r="40" spans="4:4" ht="18" customHeight="1" x14ac:dyDescent="0.25">
      <c r="D40" s="22"/>
    </row>
    <row r="41" spans="4:4" ht="30" customHeight="1" x14ac:dyDescent="0.25">
      <c r="D41" s="22"/>
    </row>
    <row r="42" spans="4:4" ht="18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</sheetData>
  <mergeCells count="5">
    <mergeCell ref="A1:F1"/>
    <mergeCell ref="A3:B3"/>
    <mergeCell ref="C3:E3"/>
    <mergeCell ref="A4:B4"/>
    <mergeCell ref="D4:F4"/>
  </mergeCells>
  <pageMargins left="0.7" right="0.7" top="0.75" bottom="0.75" header="0.3" footer="0.3"/>
  <pageSetup paperSize="9" orientation="portrait" r:id="rId1"/>
  <ignoredErrors>
    <ignoredError sqref="A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3202148F60144F975BA297D7F530A8" ma:contentTypeVersion="5" ma:contentTypeDescription="Create a new document." ma:contentTypeScope="" ma:versionID="e50eaadfc49a8333965d4c433987b6c2">
  <xsd:schema xmlns:xsd="http://www.w3.org/2001/XMLSchema" xmlns:xs="http://www.w3.org/2001/XMLSchema" xmlns:p="http://schemas.microsoft.com/office/2006/metadata/properties" xmlns:ns2="4475ea10-4370-4de2-8aea-399da9342bbc" targetNamespace="http://schemas.microsoft.com/office/2006/metadata/properties" ma:root="true" ma:fieldsID="83f244ebdeb88d421f4304da5894c81b" ns2:_="">
    <xsd:import namespace="4475ea10-4370-4de2-8aea-399da9342b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5ea10-4370-4de2-8aea-399da9342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22327-BE23-4C53-A510-6951DAF8DE28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4475ea10-4370-4de2-8aea-399da9342bbc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AA13F88-AA4D-4950-8075-A211F95A4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75ea10-4370-4de2-8aea-399da9342b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8299B0-596A-4311-BE0D-BC8A94E37D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Összesítés</vt:lpstr>
      <vt:lpstr>ALAP HC</vt:lpstr>
      <vt:lpstr>ALAP PP</vt:lpstr>
      <vt:lpstr>K2 HC </vt:lpstr>
      <vt:lpstr>K2 PP </vt:lpstr>
      <vt:lpstr>K1 HC</vt:lpstr>
      <vt:lpstr>K1 PP</vt:lpstr>
      <vt:lpstr>SZ-VV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Budai Zsolt</dc:creator>
  <cp:lastModifiedBy>Sokvári Norbert</cp:lastModifiedBy>
  <cp:lastPrinted>2026-08-18T09:52:58Z</cp:lastPrinted>
  <dcterms:created xsi:type="dcterms:W3CDTF">2017-09-18T13:28:40Z</dcterms:created>
  <dcterms:modified xsi:type="dcterms:W3CDTF">2026-09-30T15:35:43Z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0x010100DE3202148F60144F975BA297D7F530A8</vt:lpwstr>
  </property>
</Properties>
</file>